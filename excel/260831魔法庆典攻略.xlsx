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卡皮模拟\攻略图生成器\excel\"/>
    </mc:Choice>
  </mc:AlternateContent>
  <xr:revisionPtr revIDLastSave="0" documentId="13_ncr:1_{23CE445C-1627-4425-85B7-005799E602AB}" xr6:coauthVersionLast="47" xr6:coauthVersionMax="47" xr10:uidLastSave="{00000000-0000-0000-0000-000000000000}"/>
  <bookViews>
    <workbookView xWindow="22932" yWindow="-108" windowWidth="23256" windowHeight="12456" firstSheet="1" activeTab="6" xr2:uid="{00000000-000D-0000-FFFF-FFFF00000000}"/>
  </bookViews>
  <sheets>
    <sheet name="氪金转盘" sheetId="12" r:id="rId1"/>
    <sheet name="兑换列表" sheetId="7" r:id="rId2"/>
    <sheet name="基础计算设置" sheetId="2" r:id="rId3"/>
    <sheet name="魔法庆典9.8w" sheetId="3" r:id="rId4"/>
    <sheet name="魔法庆典9.8w钻攻略图" sheetId="4" r:id="rId5"/>
    <sheet name="魔法庆典4w" sheetId="13" r:id="rId6"/>
    <sheet name="魔法庆典4w钻攻略图" sheetId="14" r:id="rId7"/>
  </sheets>
  <definedNames>
    <definedName name="抽奖道具">基础计算设置!$B$1</definedName>
    <definedName name="档位积分1">基础计算设置!$B$6</definedName>
    <definedName name="档位积分2">基础计算设置!$B$7</definedName>
    <definedName name="档位积分3">基础计算设置!$B$8</definedName>
    <definedName name="档位积分4">基础计算设置!$B$9</definedName>
    <definedName name="档位积分5">基础计算设置!$B$10</definedName>
    <definedName name="档位奖励1">基础计算设置!$C$6</definedName>
    <definedName name="档位奖励2">基础计算设置!$C$7</definedName>
    <definedName name="档位奖励3">基础计算设置!$C$8</definedName>
    <definedName name="档位奖励4">基础计算设置!$C$9</definedName>
    <definedName name="档位奖励5">基础计算设置!$C$10</definedName>
    <definedName name="第1档">基础计算设置!$A$6</definedName>
    <definedName name="第5档">基础计算设置!$A$10</definedName>
    <definedName name="翡翠100">基础计算设置!$B$29</definedName>
    <definedName name="翡翠10000">基础计算设置!$B$36</definedName>
    <definedName name="高级兑换道具">基础计算设置!$B$3</definedName>
    <definedName name="高级兑换道具抽奖期望">基础计算设置!$I$18</definedName>
    <definedName name="积分规则1">基础计算设置!$B$13</definedName>
    <definedName name="积分规则2">基础计算设置!$B$14</definedName>
    <definedName name="积分规则3">基础计算设置!$I$19</definedName>
    <definedName name="价格6">基础计算设置!$A$29</definedName>
    <definedName name="价格648">基础计算设置!$A$36</definedName>
    <definedName name="普通兑换道具">基础计算设置!$B$2</definedName>
    <definedName name="普通兑换道具抽奖期望">基础计算设置!$I$17</definedName>
    <definedName name="随机箱高级道具期望">基础计算设置!$C$26</definedName>
    <definedName name="随机箱积分">基础计算设置!$D$26</definedName>
    <definedName name="钻石购买">基础计算设置!$B$18</definedName>
    <definedName name="钻石限购">基础计算设置!$B$19</definedName>
  </definedNames>
  <calcPr calcId="181029"/>
</workbook>
</file>

<file path=xl/calcChain.xml><?xml version="1.0" encoding="utf-8"?>
<calcChain xmlns="http://schemas.openxmlformats.org/spreadsheetml/2006/main">
  <c r="K25" i="13" l="1"/>
  <c r="E15" i="14"/>
  <c r="E14" i="14"/>
  <c r="E13" i="14"/>
  <c r="E12" i="14"/>
  <c r="E11" i="14"/>
  <c r="E10" i="14"/>
  <c r="E9" i="14"/>
  <c r="I8" i="14"/>
  <c r="H8" i="14"/>
  <c r="G8" i="14"/>
  <c r="D8" i="14"/>
  <c r="G3" i="14"/>
  <c r="D3" i="14"/>
  <c r="I32" i="13"/>
  <c r="C32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C25" i="13"/>
  <c r="E25" i="13" s="1"/>
  <c r="B25" i="13"/>
  <c r="C24" i="13"/>
  <c r="E24" i="13" s="1"/>
  <c r="B24" i="13"/>
  <c r="C22" i="13"/>
  <c r="E22" i="13" s="1"/>
  <c r="G22" i="13" s="1"/>
  <c r="I22" i="13" s="1"/>
  <c r="K22" i="13" s="1"/>
  <c r="M22" i="13" s="1"/>
  <c r="O22" i="13" s="1"/>
  <c r="B22" i="13"/>
  <c r="P17" i="13"/>
  <c r="N17" i="13"/>
  <c r="L17" i="13"/>
  <c r="J17" i="13"/>
  <c r="H17" i="13"/>
  <c r="F17" i="13"/>
  <c r="D17" i="13"/>
  <c r="B17" i="13"/>
  <c r="B14" i="13"/>
  <c r="F8" i="14" s="1"/>
  <c r="J13" i="13"/>
  <c r="B13" i="13"/>
  <c r="E8" i="14" s="1"/>
  <c r="P12" i="13"/>
  <c r="N12" i="13"/>
  <c r="L12" i="13"/>
  <c r="J12" i="13"/>
  <c r="H12" i="13"/>
  <c r="F12" i="13"/>
  <c r="D12" i="13"/>
  <c r="P11" i="13"/>
  <c r="N11" i="13"/>
  <c r="L11" i="13"/>
  <c r="J11" i="13"/>
  <c r="H11" i="13"/>
  <c r="F11" i="13"/>
  <c r="D11" i="13"/>
  <c r="P10" i="13"/>
  <c r="N10" i="13"/>
  <c r="L10" i="13"/>
  <c r="J10" i="13"/>
  <c r="H10" i="13"/>
  <c r="F10" i="13"/>
  <c r="D10" i="13"/>
  <c r="P9" i="13"/>
  <c r="N9" i="13"/>
  <c r="L9" i="13"/>
  <c r="J9" i="13"/>
  <c r="H9" i="13"/>
  <c r="F9" i="13"/>
  <c r="D9" i="13"/>
  <c r="P8" i="13"/>
  <c r="N8" i="13"/>
  <c r="L8" i="13"/>
  <c r="J8" i="13"/>
  <c r="H8" i="13"/>
  <c r="F8" i="13"/>
  <c r="D8" i="13"/>
  <c r="P7" i="13"/>
  <c r="N7" i="13"/>
  <c r="L7" i="13"/>
  <c r="J7" i="13"/>
  <c r="H7" i="13"/>
  <c r="F7" i="13"/>
  <c r="D7" i="13"/>
  <c r="P6" i="13"/>
  <c r="N6" i="13"/>
  <c r="L6" i="13"/>
  <c r="J6" i="13"/>
  <c r="H6" i="13"/>
  <c r="F6" i="13"/>
  <c r="D6" i="13"/>
  <c r="P5" i="13"/>
  <c r="N5" i="13"/>
  <c r="L5" i="13"/>
  <c r="J5" i="13"/>
  <c r="H5" i="13"/>
  <c r="F5" i="13"/>
  <c r="D5" i="13"/>
  <c r="P4" i="13"/>
  <c r="N4" i="13"/>
  <c r="L4" i="13"/>
  <c r="J4" i="13"/>
  <c r="H4" i="13"/>
  <c r="F4" i="13"/>
  <c r="D4" i="13"/>
  <c r="O3" i="13"/>
  <c r="M3" i="13"/>
  <c r="K3" i="13"/>
  <c r="I3" i="13"/>
  <c r="G3" i="13"/>
  <c r="E3" i="13"/>
  <c r="C3" i="13"/>
  <c r="E28" i="12"/>
  <c r="D28" i="12"/>
  <c r="C28" i="12"/>
  <c r="F25" i="12"/>
  <c r="F24" i="12"/>
  <c r="B24" i="12"/>
  <c r="F23" i="12"/>
  <c r="B23" i="12"/>
  <c r="B28" i="12" s="1"/>
  <c r="F22" i="12"/>
  <c r="F21" i="12"/>
  <c r="F20" i="12"/>
  <c r="E13" i="12"/>
  <c r="I19" i="2"/>
  <c r="H13" i="13" s="1"/>
  <c r="I18" i="2"/>
  <c r="I17" i="2"/>
  <c r="I16" i="2"/>
  <c r="I15" i="2"/>
  <c r="I14" i="2"/>
  <c r="I8" i="2"/>
  <c r="F18" i="2"/>
  <c r="F17" i="2"/>
  <c r="K5" i="2"/>
  <c r="K3" i="2"/>
  <c r="N9" i="2"/>
  <c r="N8" i="2"/>
  <c r="N7" i="2"/>
  <c r="N6" i="2"/>
  <c r="K6" i="2"/>
  <c r="N5" i="2"/>
  <c r="N4" i="2"/>
  <c r="K4" i="2"/>
  <c r="N3" i="2"/>
  <c r="I4" i="2"/>
  <c r="I5" i="2"/>
  <c r="I6" i="2"/>
  <c r="I7" i="2"/>
  <c r="I9" i="2"/>
  <c r="I3" i="2"/>
  <c r="F4" i="2"/>
  <c r="F5" i="2"/>
  <c r="F8" i="2"/>
  <c r="F7" i="2"/>
  <c r="F6" i="2"/>
  <c r="M32" i="13" l="1"/>
  <c r="C14" i="13"/>
  <c r="D22" i="13"/>
  <c r="H10" i="14"/>
  <c r="G24" i="13"/>
  <c r="G25" i="13"/>
  <c r="I10" i="14"/>
  <c r="L13" i="13"/>
  <c r="N13" i="13"/>
  <c r="H9" i="14"/>
  <c r="P13" i="13"/>
  <c r="I9" i="14"/>
  <c r="D13" i="13"/>
  <c r="F13" i="13"/>
  <c r="C24" i="3"/>
  <c r="E24" i="3" s="1"/>
  <c r="G24" i="3" s="1"/>
  <c r="I24" i="3" s="1"/>
  <c r="K24" i="3" s="1"/>
  <c r="M24" i="3" s="1"/>
  <c r="O24" i="3" s="1"/>
  <c r="E14" i="13" l="1"/>
  <c r="F9" i="14"/>
  <c r="I11" i="14"/>
  <c r="I25" i="13"/>
  <c r="H11" i="14"/>
  <c r="I24" i="13"/>
  <c r="A14" i="2"/>
  <c r="A13" i="2"/>
  <c r="C8" i="2"/>
  <c r="C9" i="2" s="1"/>
  <c r="C10" i="2" s="1"/>
  <c r="C13" i="12"/>
  <c r="B8" i="12"/>
  <c r="B9" i="12"/>
  <c r="B10" i="12"/>
  <c r="B13" i="12"/>
  <c r="D13" i="12"/>
  <c r="F10" i="12"/>
  <c r="F9" i="12"/>
  <c r="F7" i="12"/>
  <c r="F6" i="12"/>
  <c r="F11" i="12"/>
  <c r="G14" i="13" l="1"/>
  <c r="F10" i="14"/>
  <c r="H12" i="14"/>
  <c r="K24" i="13"/>
  <c r="I12" i="14"/>
  <c r="F8" i="12"/>
  <c r="F5" i="12"/>
  <c r="I14" i="13" l="1"/>
  <c r="F11" i="14"/>
  <c r="I13" i="14"/>
  <c r="M25" i="13"/>
  <c r="M24" i="13"/>
  <c r="H13" i="14"/>
  <c r="B17" i="3"/>
  <c r="N10" i="3"/>
  <c r="L10" i="3"/>
  <c r="J10" i="3"/>
  <c r="H10" i="3"/>
  <c r="F10" i="3"/>
  <c r="D10" i="3"/>
  <c r="P10" i="3"/>
  <c r="F12" i="14" l="1"/>
  <c r="K14" i="13"/>
  <c r="O24" i="13"/>
  <c r="H14" i="14"/>
  <c r="O25" i="13"/>
  <c r="I14" i="14"/>
  <c r="F13" i="3"/>
  <c r="H13" i="3"/>
  <c r="D13" i="3"/>
  <c r="N13" i="3"/>
  <c r="P13" i="3"/>
  <c r="J13" i="3"/>
  <c r="P9" i="3"/>
  <c r="N9" i="3"/>
  <c r="L9" i="3"/>
  <c r="J9" i="3"/>
  <c r="H9" i="3"/>
  <c r="F9" i="3"/>
  <c r="D9" i="3"/>
  <c r="C22" i="3"/>
  <c r="A18" i="2"/>
  <c r="D8" i="4"/>
  <c r="B22" i="3"/>
  <c r="B13" i="3"/>
  <c r="B14" i="3"/>
  <c r="C32" i="3"/>
  <c r="I32" i="3"/>
  <c r="O30" i="3"/>
  <c r="P29" i="3"/>
  <c r="O29" i="3"/>
  <c r="N30" i="3"/>
  <c r="M30" i="3"/>
  <c r="N29" i="3"/>
  <c r="M29" i="3"/>
  <c r="L30" i="3"/>
  <c r="K30" i="3"/>
  <c r="L29" i="3"/>
  <c r="K29" i="3"/>
  <c r="J30" i="3"/>
  <c r="I30" i="3"/>
  <c r="J29" i="3"/>
  <c r="I29" i="3"/>
  <c r="H30" i="3"/>
  <c r="G30" i="3"/>
  <c r="H29" i="3"/>
  <c r="G29" i="3"/>
  <c r="F30" i="3"/>
  <c r="E30" i="3"/>
  <c r="F29" i="3"/>
  <c r="E29" i="3"/>
  <c r="D30" i="3"/>
  <c r="C30" i="3"/>
  <c r="D29" i="3"/>
  <c r="C29" i="3"/>
  <c r="M14" i="13" l="1"/>
  <c r="F13" i="14"/>
  <c r="I15" i="14"/>
  <c r="G5" i="14"/>
  <c r="C33" i="13"/>
  <c r="H15" i="14"/>
  <c r="D5" i="14"/>
  <c r="C14" i="3"/>
  <c r="E14" i="3" s="1"/>
  <c r="G14" i="3" s="1"/>
  <c r="I14" i="3" s="1"/>
  <c r="K14" i="3" s="1"/>
  <c r="M14" i="3" s="1"/>
  <c r="O14" i="3" s="1"/>
  <c r="E22" i="3"/>
  <c r="G22" i="3" s="1"/>
  <c r="I22" i="3" s="1"/>
  <c r="K22" i="3" s="1"/>
  <c r="M22" i="3" s="1"/>
  <c r="O22" i="3" s="1"/>
  <c r="D22" i="3"/>
  <c r="L13" i="3"/>
  <c r="P11" i="3"/>
  <c r="N7" i="3"/>
  <c r="F11" i="3"/>
  <c r="P4" i="3"/>
  <c r="F8" i="3"/>
  <c r="L12" i="3"/>
  <c r="J8" i="3"/>
  <c r="F12" i="3"/>
  <c r="N6" i="3"/>
  <c r="P8" i="3"/>
  <c r="L11" i="3"/>
  <c r="J7" i="3"/>
  <c r="D11" i="3"/>
  <c r="N5" i="3"/>
  <c r="D7" i="3"/>
  <c r="N8" i="3"/>
  <c r="P5" i="3"/>
  <c r="P7" i="3"/>
  <c r="H12" i="3"/>
  <c r="D12" i="3"/>
  <c r="N4" i="3"/>
  <c r="D8" i="3"/>
  <c r="N12" i="3"/>
  <c r="L8" i="3"/>
  <c r="H11" i="3"/>
  <c r="L6" i="3"/>
  <c r="N11" i="3"/>
  <c r="L7" i="3"/>
  <c r="L5" i="3"/>
  <c r="P12" i="3"/>
  <c r="F7" i="3"/>
  <c r="J12" i="3"/>
  <c r="H8" i="3"/>
  <c r="P6" i="3"/>
  <c r="L4" i="3"/>
  <c r="J11" i="3"/>
  <c r="H7" i="3"/>
  <c r="M32" i="3"/>
  <c r="F14" i="14" l="1"/>
  <c r="O14" i="13"/>
  <c r="F15" i="14" s="1"/>
  <c r="G8" i="4"/>
  <c r="I8" i="4"/>
  <c r="H8" i="4"/>
  <c r="G3" i="4"/>
  <c r="D3" i="4"/>
  <c r="E15" i="4"/>
  <c r="E14" i="4"/>
  <c r="E13" i="4"/>
  <c r="E12" i="4"/>
  <c r="E11" i="4"/>
  <c r="E10" i="4"/>
  <c r="E9" i="4"/>
  <c r="B25" i="3"/>
  <c r="B24" i="3"/>
  <c r="F8" i="4"/>
  <c r="E8" i="4"/>
  <c r="P17" i="3"/>
  <c r="N17" i="3"/>
  <c r="L17" i="3"/>
  <c r="J17" i="3"/>
  <c r="H17" i="3"/>
  <c r="F17" i="3"/>
  <c r="D17" i="3"/>
  <c r="J6" i="3"/>
  <c r="H6" i="3"/>
  <c r="F6" i="3"/>
  <c r="D6" i="3"/>
  <c r="J5" i="3"/>
  <c r="H5" i="3"/>
  <c r="F5" i="3"/>
  <c r="D5" i="3"/>
  <c r="J4" i="3"/>
  <c r="H4" i="3"/>
  <c r="F4" i="3"/>
  <c r="D4" i="3"/>
  <c r="O3" i="3"/>
  <c r="M3" i="3"/>
  <c r="K3" i="3"/>
  <c r="I3" i="3"/>
  <c r="G3" i="3"/>
  <c r="E3" i="3"/>
  <c r="C3" i="3"/>
  <c r="C25" i="2"/>
  <c r="D25" i="2" s="1"/>
  <c r="C24" i="2"/>
  <c r="D24" i="2" s="1"/>
  <c r="C23" i="2"/>
  <c r="D23" i="2" s="1"/>
  <c r="H9" i="4" l="1"/>
  <c r="C26" i="2"/>
  <c r="C25" i="3" l="1"/>
  <c r="E25" i="3" s="1"/>
  <c r="G25" i="3" s="1"/>
  <c r="I25" i="3" s="1"/>
  <c r="K25" i="3" s="1"/>
  <c r="M25" i="3" s="1"/>
  <c r="O25" i="3" s="1"/>
  <c r="D26" i="2"/>
  <c r="H10" i="4"/>
  <c r="J15" i="13" l="1"/>
  <c r="J20" i="13" s="1"/>
  <c r="H15" i="13"/>
  <c r="H20" i="13" s="1"/>
  <c r="F15" i="13"/>
  <c r="F20" i="13" s="1"/>
  <c r="D15" i="13"/>
  <c r="D20" i="13" s="1"/>
  <c r="L15" i="13"/>
  <c r="L20" i="13" s="1"/>
  <c r="P15" i="13"/>
  <c r="P20" i="13" s="1"/>
  <c r="N15" i="13"/>
  <c r="N20" i="13" s="1"/>
  <c r="L15" i="3"/>
  <c r="J15" i="3"/>
  <c r="H15" i="3"/>
  <c r="F15" i="3"/>
  <c r="D15" i="3"/>
  <c r="P15" i="3"/>
  <c r="N15" i="3"/>
  <c r="I9" i="4"/>
  <c r="I10" i="4"/>
  <c r="H11" i="4"/>
  <c r="M20" i="13" l="1"/>
  <c r="D14" i="14" s="1"/>
  <c r="N21" i="13"/>
  <c r="M21" i="13"/>
  <c r="K21" i="13"/>
  <c r="K20" i="13"/>
  <c r="D13" i="14" s="1"/>
  <c r="L21" i="13"/>
  <c r="C23" i="13"/>
  <c r="E23" i="13" s="1"/>
  <c r="C21" i="13"/>
  <c r="C20" i="13"/>
  <c r="D9" i="14" s="1"/>
  <c r="D21" i="13"/>
  <c r="E20" i="13"/>
  <c r="D10" i="14" s="1"/>
  <c r="F21" i="13"/>
  <c r="E21" i="13"/>
  <c r="G20" i="13"/>
  <c r="D11" i="14" s="1"/>
  <c r="H21" i="13"/>
  <c r="G21" i="13"/>
  <c r="O20" i="13"/>
  <c r="D15" i="14" s="1"/>
  <c r="P21" i="13"/>
  <c r="O21" i="13"/>
  <c r="J21" i="13"/>
  <c r="I21" i="13"/>
  <c r="I20" i="13"/>
  <c r="D12" i="14" s="1"/>
  <c r="I11" i="4"/>
  <c r="H12" i="4"/>
  <c r="E16" i="13" l="1"/>
  <c r="G10" i="14" s="1"/>
  <c r="F23" i="13"/>
  <c r="G23" i="13"/>
  <c r="C16" i="13"/>
  <c r="G9" i="14" s="1"/>
  <c r="D23" i="13"/>
  <c r="I12" i="4"/>
  <c r="H13" i="4"/>
  <c r="G16" i="13" l="1"/>
  <c r="G11" i="14" s="1"/>
  <c r="H23" i="13"/>
  <c r="I23" i="13"/>
  <c r="I13" i="4"/>
  <c r="J23" i="13" l="1"/>
  <c r="I16" i="13"/>
  <c r="G12" i="14" s="1"/>
  <c r="K23" i="13"/>
  <c r="H14" i="4"/>
  <c r="I14" i="4"/>
  <c r="K16" i="13" l="1"/>
  <c r="G13" i="14" s="1"/>
  <c r="L23" i="13"/>
  <c r="M23" i="13"/>
  <c r="D5" i="4"/>
  <c r="H15" i="4"/>
  <c r="I15" i="4"/>
  <c r="M16" i="13" l="1"/>
  <c r="G14" i="14" s="1"/>
  <c r="N23" i="13"/>
  <c r="O23" i="13"/>
  <c r="G5" i="4"/>
  <c r="C33" i="3"/>
  <c r="P23" i="13" l="1"/>
  <c r="O16" i="13"/>
  <c r="G15" i="14" s="1"/>
  <c r="F9" i="4"/>
  <c r="F10" i="4"/>
  <c r="F11" i="4"/>
  <c r="F12" i="4"/>
  <c r="F13" i="4"/>
  <c r="F14" i="4"/>
  <c r="F15" i="4"/>
  <c r="F20" i="3" l="1"/>
  <c r="H20" i="3"/>
  <c r="D20" i="3"/>
  <c r="P20" i="3"/>
  <c r="N20" i="3"/>
  <c r="L20" i="3"/>
  <c r="J20" i="3"/>
  <c r="I20" i="3" l="1"/>
  <c r="D12" i="4" s="1"/>
  <c r="J21" i="3"/>
  <c r="I21" i="3"/>
  <c r="D21" i="3"/>
  <c r="C20" i="3"/>
  <c r="D9" i="4" s="1"/>
  <c r="C21" i="3"/>
  <c r="C23" i="3"/>
  <c r="M20" i="3"/>
  <c r="D14" i="4" s="1"/>
  <c r="M21" i="3"/>
  <c r="N21" i="3"/>
  <c r="G20" i="3"/>
  <c r="D11" i="4" s="1"/>
  <c r="H21" i="3"/>
  <c r="G21" i="3"/>
  <c r="K21" i="3"/>
  <c r="K20" i="3"/>
  <c r="D13" i="4" s="1"/>
  <c r="L21" i="3"/>
  <c r="P21" i="3"/>
  <c r="O21" i="3"/>
  <c r="O20" i="3"/>
  <c r="D15" i="4" s="1"/>
  <c r="E21" i="3"/>
  <c r="F21" i="3"/>
  <c r="E20" i="3"/>
  <c r="D10" i="4" s="1"/>
  <c r="D23" i="3" l="1"/>
  <c r="C16" i="3"/>
  <c r="G9" i="4" s="1"/>
  <c r="E23" i="3"/>
  <c r="E16" i="3" l="1"/>
  <c r="G10" i="4" s="1"/>
  <c r="F23" i="3"/>
  <c r="G23" i="3"/>
  <c r="G16" i="3" l="1"/>
  <c r="G11" i="4" s="1"/>
  <c r="H23" i="3"/>
  <c r="I23" i="3"/>
  <c r="I16" i="3" l="1"/>
  <c r="G12" i="4" s="1"/>
  <c r="J23" i="3"/>
  <c r="K23" i="3"/>
  <c r="K16" i="3" l="1"/>
  <c r="G13" i="4" s="1"/>
  <c r="L23" i="3"/>
  <c r="M23" i="3"/>
  <c r="M16" i="3" l="1"/>
  <c r="G14" i="4" s="1"/>
  <c r="N23" i="3"/>
  <c r="O23" i="3"/>
  <c r="O16" i="3" l="1"/>
  <c r="G15" i="4" s="1"/>
  <c r="P23" i="3"/>
</calcChain>
</file>

<file path=xl/sharedStrings.xml><?xml version="1.0" encoding="utf-8"?>
<sst xmlns="http://schemas.openxmlformats.org/spreadsheetml/2006/main" count="295" uniqueCount="191">
  <si>
    <t>翡翠</t>
  </si>
  <si>
    <t>合计</t>
  </si>
  <si>
    <t>抽奖道具</t>
  </si>
  <si>
    <t>普通兑换道具</t>
  </si>
  <si>
    <t>数量</t>
  </si>
  <si>
    <t>概率</t>
  </si>
  <si>
    <t>积分</t>
  </si>
  <si>
    <t>高级兑换道具</t>
  </si>
  <si>
    <t>档位</t>
  </si>
  <si>
    <t>累积积分</t>
  </si>
  <si>
    <t>累积随机箱</t>
  </si>
  <si>
    <t>第1档</t>
  </si>
  <si>
    <t>第2档</t>
  </si>
  <si>
    <t>第3档</t>
  </si>
  <si>
    <t>第4档</t>
  </si>
  <si>
    <t>第5档</t>
  </si>
  <si>
    <t>积分规则</t>
  </si>
  <si>
    <t>钻石购买</t>
  </si>
  <si>
    <t>钻石</t>
  </si>
  <si>
    <t>限购=</t>
  </si>
  <si>
    <t>个/天</t>
  </si>
  <si>
    <t>随机箱</t>
  </si>
  <si>
    <t>平均(个)</t>
  </si>
  <si>
    <t>积分（分）</t>
  </si>
  <si>
    <t>价格（RMB）</t>
  </si>
  <si>
    <t>第1天</t>
  </si>
  <si>
    <t>第2天</t>
  </si>
  <si>
    <t>第3天</t>
  </si>
  <si>
    <t>第4天</t>
  </si>
  <si>
    <t>第5天</t>
  </si>
  <si>
    <t>第6天</t>
  </si>
  <si>
    <t>第7天</t>
  </si>
  <si>
    <t>每日任务</t>
  </si>
  <si>
    <t>使用随机箱</t>
  </si>
  <si>
    <t>剩余随机箱</t>
  </si>
  <si>
    <t>天数</t>
  </si>
  <si>
    <t>Day1</t>
    <phoneticPr fontId="20" type="noConversion"/>
  </si>
  <si>
    <t>Day2</t>
    <phoneticPr fontId="20" type="noConversion"/>
  </si>
  <si>
    <t>Day3</t>
    <phoneticPr fontId="20" type="noConversion"/>
  </si>
  <si>
    <t>Day4</t>
    <phoneticPr fontId="20" type="noConversion"/>
  </si>
  <si>
    <t>Day5</t>
    <phoneticPr fontId="20" type="noConversion"/>
  </si>
  <si>
    <t>Day6</t>
    <phoneticPr fontId="20" type="noConversion"/>
  </si>
  <si>
    <t>Day7</t>
    <phoneticPr fontId="20" type="noConversion"/>
  </si>
  <si>
    <t>风险提示</t>
    <phoneticPr fontId="20" type="noConversion"/>
  </si>
  <si>
    <t>今天只做这些</t>
    <phoneticPr fontId="20" type="noConversion"/>
  </si>
  <si>
    <t>预算</t>
    <phoneticPr fontId="20" type="noConversion"/>
  </si>
  <si>
    <t>总体策略</t>
    <phoneticPr fontId="20" type="noConversion"/>
  </si>
  <si>
    <t>收尾日</t>
    <phoneticPr fontId="20" type="noConversion"/>
  </si>
  <si>
    <t>氪金RMB</t>
    <phoneticPr fontId="20" type="noConversion"/>
  </si>
  <si>
    <t>氪金翡翠</t>
    <phoneticPr fontId="20" type="noConversion"/>
  </si>
  <si>
    <t>商店兑换</t>
    <phoneticPr fontId="20" type="noConversion"/>
  </si>
  <si>
    <t>免费基金</t>
    <phoneticPr fontId="20" type="noConversion"/>
  </si>
  <si>
    <t>活动签到</t>
    <phoneticPr fontId="20" type="noConversion"/>
  </si>
  <si>
    <t>氪金礼包</t>
    <phoneticPr fontId="20" type="noConversion"/>
  </si>
  <si>
    <t>氪金基金</t>
    <phoneticPr fontId="20" type="noConversion"/>
  </si>
  <si>
    <t>首次登录</t>
    <phoneticPr fontId="20" type="noConversion"/>
  </si>
  <si>
    <t>？</t>
    <phoneticPr fontId="20" type="noConversion"/>
  </si>
  <si>
    <t>总随机箱</t>
    <phoneticPr fontId="20" type="noConversion"/>
  </si>
  <si>
    <t>目标档位</t>
    <phoneticPr fontId="20" type="noConversion"/>
  </si>
  <si>
    <t>数量</t>
    <phoneticPr fontId="26" type="noConversion"/>
  </si>
  <si>
    <t>概率</t>
    <phoneticPr fontId="26" type="noConversion"/>
  </si>
  <si>
    <t>下一档位</t>
    <phoneticPr fontId="20" type="noConversion"/>
  </si>
  <si>
    <t>广告观看</t>
    <phoneticPr fontId="20" type="noConversion"/>
  </si>
  <si>
    <t>觉醒核心自选箱×1</t>
  </si>
  <si>
    <t>橙秘宝自选箱×1</t>
  </si>
  <si>
    <t>限定烙印自选箱×1</t>
  </si>
  <si>
    <t>S武器自选箱×1</t>
  </si>
  <si>
    <t>S史诗传承自选箱×1</t>
  </si>
  <si>
    <t>连携祝福卷轴×1</t>
  </si>
  <si>
    <t>置换符×1</t>
  </si>
  <si>
    <t>随机传说宝石箱×1</t>
  </si>
  <si>
    <t>天外陨铁×10</t>
  </si>
  <si>
    <t>史诗坐骑核心自选箱×1</t>
  </si>
  <si>
    <t>随机英杰箱×1</t>
  </si>
  <si>
    <t>稀有坐骑核心自选箱×1</t>
  </si>
  <si>
    <t>优秀坐骑核心自选箱×1</t>
  </si>
  <si>
    <t>史诗传承自选箱×1</t>
  </si>
  <si>
    <t>幸运银币×3</t>
  </si>
  <si>
    <t>传承书自选箱×1</t>
  </si>
  <si>
    <t>天外陨铁×100</t>
  </si>
  <si>
    <t>随机烙印箱×1</t>
  </si>
  <si>
    <t>装备图纸×20</t>
  </si>
  <si>
    <t>宠物蛋×100</t>
  </si>
  <si>
    <t>祈愿函×5</t>
  </si>
  <si>
    <t>传说钥匙×5</t>
  </si>
  <si>
    <t>宝石钥匙×5</t>
  </si>
  <si>
    <t>秘宝钥匙×5</t>
  </si>
  <si>
    <t>不变石×1</t>
  </si>
  <si>
    <t>英杰契约×1</t>
  </si>
  <si>
    <t>金蹄铁×50</t>
  </si>
  <si>
    <t>神威锤×50</t>
  </si>
  <si>
    <t>消耗内容</t>
  </si>
  <si>
    <t>获得内容</t>
  </si>
  <si>
    <t>限购次数</t>
  </si>
  <si>
    <t>高级兑换</t>
    <phoneticPr fontId="20" type="noConversion"/>
  </si>
  <si>
    <t>普通兑换</t>
    <phoneticPr fontId="20" type="noConversion"/>
  </si>
  <si>
    <t>见习魔法帽×3000</t>
  </si>
  <si>
    <t>见习魔法帽×2000</t>
  </si>
  <si>
    <t>见习魔法帽×1800</t>
  </si>
  <si>
    <t>见习魔法帽×1300</t>
  </si>
  <si>
    <t>见习魔法帽×1200</t>
  </si>
  <si>
    <t>见习魔法帽×900</t>
  </si>
  <si>
    <t>见习魔法帽×160</t>
  </si>
  <si>
    <t>大师魔法帽×10</t>
  </si>
  <si>
    <t>见习魔法帽×700</t>
  </si>
  <si>
    <t>见习魔法帽×480</t>
  </si>
  <si>
    <t>见习魔法帽×400</t>
  </si>
  <si>
    <t>见习魔法帽×360</t>
  </si>
  <si>
    <t>见习魔法帽×240</t>
  </si>
  <si>
    <t>见习魔法帽×120</t>
  </si>
  <si>
    <t>卡皮筹码×5</t>
  </si>
  <si>
    <t>主线第150章生存1天；开服179天</t>
  </si>
  <si>
    <t>见习魔法帽×100</t>
  </si>
  <si>
    <t>精力×10</t>
  </si>
  <si>
    <t>见习魔法帽×90</t>
  </si>
  <si>
    <t>见习魔法帽×60</t>
  </si>
  <si>
    <t>见习魔法帽×50</t>
  </si>
  <si>
    <t>限制条件</t>
    <phoneticPr fontId="20" type="noConversion"/>
  </si>
  <si>
    <t>大师魔法帽×1100</t>
  </si>
  <si>
    <t>大师魔法帽×800</t>
  </si>
  <si>
    <t>大师魔法帽×100</t>
  </si>
  <si>
    <t>大师魔法帽×15</t>
  </si>
  <si>
    <t>大师魔法帽×150</t>
  </si>
  <si>
    <t>大师魔法帽×20</t>
  </si>
  <si>
    <t>大师魔法帽×500</t>
  </si>
  <si>
    <t>星愿魔晶×1</t>
  </si>
  <si>
    <t>大师魔法帽×270</t>
  </si>
  <si>
    <t>S装备自选箱×1</t>
  </si>
  <si>
    <t>大师魔法帽×250</t>
  </si>
  <si>
    <t>大师魔法帽×4</t>
  </si>
  <si>
    <t>礼包项目</t>
  </si>
  <si>
    <t>金额（元）</t>
  </si>
  <si>
    <t>钻石（个）</t>
  </si>
  <si>
    <t>性价比(门票/翡翠)</t>
  </si>
  <si>
    <t>奇幻扭蛋币</t>
    <phoneticPr fontId="20" type="noConversion"/>
  </si>
  <si>
    <t>见习魔法帽×5000</t>
    <phoneticPr fontId="20" type="noConversion"/>
  </si>
  <si>
    <t>见习魔法帽</t>
  </si>
  <si>
    <t>大师魔法帽×1100</t>
    <phoneticPr fontId="20" type="noConversion"/>
  </si>
  <si>
    <t>大师魔法帽</t>
    <phoneticPr fontId="20" type="noConversion"/>
  </si>
  <si>
    <t>魔术好礼</t>
    <phoneticPr fontId="20" type="noConversion"/>
  </si>
  <si>
    <t>宝石</t>
    <phoneticPr fontId="20" type="noConversion"/>
  </si>
  <si>
    <t>期望值</t>
    <phoneticPr fontId="20" type="noConversion"/>
  </si>
  <si>
    <t>星愿魔晶(碎片)</t>
    <phoneticPr fontId="20" type="noConversion"/>
  </si>
  <si>
    <t>公式</t>
    <phoneticPr fontId="20" type="noConversion"/>
  </si>
  <si>
    <t>幸运模式抽奖概率(20幸运值抽1次)</t>
    <phoneticPr fontId="20" type="noConversion"/>
  </si>
  <si>
    <t>普通模式抽奖概率（抽1次获得5点幸运值）</t>
    <phoneticPr fontId="20" type="noConversion"/>
  </si>
  <si>
    <t>结果</t>
    <phoneticPr fontId="20" type="noConversion"/>
  </si>
  <si>
    <t>项目</t>
    <phoneticPr fontId="20" type="noConversion"/>
  </si>
  <si>
    <t>抽奖积分</t>
    <phoneticPr fontId="20" type="noConversion"/>
  </si>
  <si>
    <t>抽奖期望统计（各项目/1抽奖币）</t>
    <phoneticPr fontId="20" type="noConversion"/>
  </si>
  <si>
    <t>幸运值</t>
    <phoneticPr fontId="20" type="noConversion"/>
  </si>
  <si>
    <t>(5+0.025*15)/(1-0.25）</t>
    <phoneticPr fontId="20" type="noConversion"/>
  </si>
  <si>
    <t>幸运模式抽奖次数</t>
    <phoneticPr fontId="20" type="noConversion"/>
  </si>
  <si>
    <t>7.16667/(20-0.05*15)</t>
    <phoneticPr fontId="20" type="noConversion"/>
  </si>
  <si>
    <t>0.025/(1-0.25)+0.05*0.372</t>
    <phoneticPr fontId="20" type="noConversion"/>
  </si>
  <si>
    <t>(5+6+5)/0.75+20*0.372</t>
    <phoneticPr fontId="20" type="noConversion"/>
  </si>
  <si>
    <t>0.2/0.75+(0.375+0.8+0.5)*0.372</t>
    <phoneticPr fontId="20" type="noConversion"/>
  </si>
  <si>
    <t>0.25*25/0.75+0.890*1</t>
    <phoneticPr fontId="20" type="noConversion"/>
  </si>
  <si>
    <t>魔法庆典｜9.8万钻攻略</t>
    <phoneticPr fontId="20" type="noConversion"/>
  </si>
  <si>
    <t>至尊自选箱×1</t>
    <phoneticPr fontId="20" type="noConversion"/>
  </si>
  <si>
    <t>觉醒核心自选箱×1</t>
    <phoneticPr fontId="20" type="noConversion"/>
  </si>
  <si>
    <t>超越万能坐骑核心碎片×30</t>
    <phoneticPr fontId="20" type="noConversion"/>
  </si>
  <si>
    <t>神话万能秘宝碎片×50</t>
    <phoneticPr fontId="20" type="noConversion"/>
  </si>
  <si>
    <r>
      <t xml:space="preserve">可兑换： 超越万能坐骑核心碎片×30 或 神话万能秘宝碎片×50 + </t>
    </r>
    <r>
      <rPr>
        <b/>
        <sz val="12"/>
        <color rgb="FFFF0000"/>
        <rFont val="微软雅黑"/>
        <family val="2"/>
        <charset val="134"/>
      </rPr>
      <t>至尊自选箱×1 +觉醒核心自选箱×2</t>
    </r>
    <phoneticPr fontId="20" type="noConversion"/>
  </si>
  <si>
    <t>魔法庆典转盘顶部特惠礼包1</t>
    <phoneticPr fontId="20" type="noConversion"/>
  </si>
  <si>
    <t>魔法庆典转盘顶部特惠礼包2</t>
    <phoneticPr fontId="20" type="noConversion"/>
  </si>
  <si>
    <t>魔法庆典转盘顶部特惠礼包3</t>
    <phoneticPr fontId="20" type="noConversion"/>
  </si>
  <si>
    <t>魔法币礼包Ⅰ（买2次）</t>
    <phoneticPr fontId="20" type="noConversion"/>
  </si>
  <si>
    <t>魔法币礼包Ⅱ（买2次）</t>
    <phoneticPr fontId="20" type="noConversion"/>
  </si>
  <si>
    <t>魔法币礼包Ⅲ（只买1次）</t>
    <phoneticPr fontId="20" type="noConversion"/>
  </si>
  <si>
    <t>免费魔法币礼包（广告）</t>
  </si>
  <si>
    <t>魔法咒语礼包（宝石）</t>
  </si>
  <si>
    <t>① 登录3币+任务26币
② 钻石购买70币
③ 攒币不用</t>
    <phoneticPr fontId="20" type="noConversion"/>
  </si>
  <si>
    <t>① 任务26币+钻石购买70币
② 攒币不用</t>
    <phoneticPr fontId="20" type="noConversion"/>
  </si>
  <si>
    <t>① 任务26币+钻石购买70币
② 用掉675币可拿第4档奖励
③ 开掉45个随机箱
④ 商店兑换30大师魔法帽
⑤ 赠送全部魔术好礼</t>
    <phoneticPr fontId="20" type="noConversion"/>
  </si>
  <si>
    <t>.</t>
    <phoneticPr fontId="20" type="noConversion"/>
  </si>
  <si>
    <t>每枚扭蛋币理论期望为：28.78见习魔法帽；0.89大师魔法帽；0.052魔术好礼；9.22档位积分
大师魔法帽的最终期望只有1092个，并不一定能兑换到1100的超越万能坐骑核心</t>
    <phoneticPr fontId="20" type="noConversion"/>
  </si>
  <si>
    <t>魔术基金免费奖励（免费基金）</t>
    <phoneticPr fontId="20" type="noConversion"/>
  </si>
  <si>
    <t>魔术基金氪金奖励（氪金基金）</t>
    <phoneticPr fontId="20" type="noConversion"/>
  </si>
  <si>
    <t>魔法币（枚）</t>
    <phoneticPr fontId="20" type="noConversion"/>
  </si>
  <si>
    <t>硬吃300抽保底的买法</t>
    <phoneticPr fontId="20" type="noConversion"/>
  </si>
  <si>
    <t>魔法币礼包Ⅳ（只买1次）</t>
    <phoneticPr fontId="20" type="noConversion"/>
  </si>
  <si>
    <t>可以先从上到下，买到魔法币礼包Ⅱ两次。发现自己提前出限量奖励可以这样买，总共290抽</t>
    <phoneticPr fontId="20" type="noConversion"/>
  </si>
  <si>
    <t>神兵魔方×5</t>
    <phoneticPr fontId="20" type="noConversion"/>
  </si>
  <si>
    <t>高级炼金试剂×5</t>
    <phoneticPr fontId="20" type="noConversion"/>
  </si>
  <si>
    <r>
      <t xml:space="preserve">可兑换： 神兵魔方×20 或 高级炼金试剂×100 + </t>
    </r>
    <r>
      <rPr>
        <b/>
        <sz val="12"/>
        <color rgb="FFFF0000"/>
        <rFont val="微软雅黑"/>
        <family val="2"/>
        <charset val="134"/>
      </rPr>
      <t>至尊自选箱×1 +觉醒核心自选箱×2</t>
    </r>
    <phoneticPr fontId="20" type="noConversion"/>
  </si>
  <si>
    <t>① 任务26币
② 用掉385币可拿第3档奖励
③ 开掉9个随机箱
④ 赠送全部魔术好礼</t>
    <phoneticPr fontId="20" type="noConversion"/>
  </si>
  <si>
    <t>魔法庆典｜4万钻攻略</t>
    <phoneticPr fontId="20" type="noConversion"/>
  </si>
  <si>
    <t>① 任务26币+钻石购买6币
② 攒币不用</t>
    <phoneticPr fontId="20" type="noConversion"/>
  </si>
  <si>
    <t>① 任务26币+钻石购买42币
② 攒币不用</t>
    <phoneticPr fontId="20" type="noConversion"/>
  </si>
  <si>
    <t>每枚扭蛋币理论期望为：28.78见习魔法帽；0.89大师魔法帽；0.052魔术好礼；9.22档位积分
只需要在前6天内购买共200个币即可，每天买6个币即可拿第1档奖励。不够11000见习帽第7天再买一点币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</si>
</sst>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0.000"/>
  </numFmts>
  <fonts count="28">
    <font>
      <sz val="11"/>
      <color theme="1"/>
      <name val="等线"/>
    </font>
    <font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1"/>
      <color theme="1"/>
      <name val="等线"/>
      <family val="3"/>
      <charset val="134"/>
    </font>
    <font>
      <sz val="12"/>
      <color theme="0"/>
      <name val="微软雅黑"/>
      <family val="2"/>
      <charset val="134"/>
    </font>
    <font>
      <sz val="11"/>
      <name val="Carlito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b/>
      <sz val="14"/>
      <color rgb="FF7030A0"/>
      <name val="微软雅黑"/>
      <family val="2"/>
      <charset val="134"/>
    </font>
    <font>
      <b/>
      <sz val="19"/>
      <color rgb="FFFFFFFF"/>
      <name val="微软雅黑"/>
      <family val="2"/>
      <charset val="134"/>
    </font>
    <font>
      <b/>
      <sz val="14"/>
      <color rgb="FF375623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color rgb="FF29415C"/>
      <name val="微软雅黑"/>
      <family val="2"/>
      <charset val="134"/>
    </font>
    <font>
      <b/>
      <sz val="11"/>
      <color rgb="FF9C5700"/>
      <name val="微软雅黑"/>
      <family val="2"/>
      <charset val="134"/>
    </font>
    <font>
      <b/>
      <sz val="14"/>
      <color rgb="FF9C5700"/>
      <name val="微软雅黑"/>
      <family val="2"/>
      <charset val="134"/>
    </font>
    <font>
      <b/>
      <sz val="9"/>
      <color rgb="FF9C5700"/>
      <name val="微软雅黑"/>
      <family val="2"/>
      <charset val="134"/>
    </font>
    <font>
      <sz val="9"/>
      <name val="宋体"/>
      <family val="3"/>
      <charset val="134"/>
    </font>
    <font>
      <b/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20"/>
      <color rgb="FFFFFFFF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sz val="11"/>
      <color theme="1"/>
      <name val="等线"/>
      <family val="3"/>
      <charset val="134"/>
    </font>
  </fonts>
  <fills count="31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theme="0"/>
      </patternFill>
    </fill>
    <fill>
      <patternFill patternType="solid">
        <fgColor rgb="FFC000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88A20"/>
      </patternFill>
    </fill>
    <fill>
      <patternFill patternType="solid">
        <fgColor rgb="FFFFF2CC"/>
      </patternFill>
    </fill>
    <fill>
      <patternFill patternType="solid">
        <fgColor rgb="FF9C5700"/>
      </patternFill>
    </fill>
    <fill>
      <patternFill patternType="solid">
        <fgColor rgb="FFFFF8E7"/>
      </patternFill>
    </fill>
    <fill>
      <patternFill patternType="solid">
        <fgColor rgb="FFF8CBAD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D9D9D9"/>
      </bottom>
      <diagonal/>
    </border>
    <border>
      <left style="thick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ck">
        <color rgb="FF000000"/>
      </right>
      <top/>
      <bottom style="thin">
        <color rgb="FFD9D9D9"/>
      </bottom>
      <diagonal/>
    </border>
    <border>
      <left/>
      <right style="thick">
        <color rgb="FF000000"/>
      </right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D9D9D9"/>
      </top>
      <bottom style="thick">
        <color rgb="FF000000"/>
      </bottom>
      <diagonal/>
    </border>
    <border>
      <left/>
      <right/>
      <top style="thin">
        <color rgb="FFD9D9D9"/>
      </top>
      <bottom style="thick">
        <color rgb="FF000000"/>
      </bottom>
      <diagonal/>
    </border>
    <border>
      <left/>
      <right style="thick">
        <color rgb="FF000000"/>
      </right>
      <top style="thin">
        <color rgb="FFD9D9D9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rgb="FFD88A20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9">
    <xf numFmtId="0" fontId="0" fillId="0" borderId="0"/>
    <xf numFmtId="0" fontId="6" fillId="0" borderId="0"/>
    <xf numFmtId="0" fontId="8" fillId="0" borderId="0"/>
    <xf numFmtId="0" fontId="8" fillId="0" borderId="0"/>
    <xf numFmtId="0" fontId="6" fillId="0" borderId="14"/>
    <xf numFmtId="0" fontId="6" fillId="0" borderId="14"/>
    <xf numFmtId="0" fontId="8" fillId="0" borderId="14"/>
    <xf numFmtId="0" fontId="8" fillId="0" borderId="14"/>
    <xf numFmtId="9" fontId="27" fillId="0" borderId="0" applyFont="0" applyFill="0" applyBorder="0" applyAlignment="0" applyProtection="0">
      <alignment vertical="center"/>
    </xf>
  </cellStyleXfs>
  <cellXfs count="193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9" fillId="0" borderId="0" xfId="3" applyFont="1" applyAlignment="1">
      <alignment horizontal="center"/>
    </xf>
    <xf numFmtId="0" fontId="16" fillId="13" borderId="14" xfId="0" applyFont="1" applyFill="1" applyBorder="1" applyAlignment="1">
      <alignment horizontal="center" vertical="center" wrapText="1"/>
    </xf>
    <xf numFmtId="1" fontId="16" fillId="13" borderId="14" xfId="0" applyNumberFormat="1" applyFont="1" applyFill="1" applyBorder="1" applyAlignment="1">
      <alignment horizontal="center" vertical="center" wrapText="1"/>
    </xf>
    <xf numFmtId="0" fontId="19" fillId="18" borderId="16" xfId="0" applyFont="1" applyFill="1" applyBorder="1" applyAlignment="1">
      <alignment horizontal="center" vertical="center" wrapText="1"/>
    </xf>
    <xf numFmtId="1" fontId="19" fillId="18" borderId="16" xfId="0" applyNumberFormat="1" applyFont="1" applyFill="1" applyBorder="1" applyAlignment="1">
      <alignment horizontal="center" vertical="center" wrapText="1"/>
    </xf>
    <xf numFmtId="0" fontId="16" fillId="13" borderId="33" xfId="0" applyFont="1" applyFill="1" applyBorder="1" applyAlignment="1">
      <alignment horizontal="center" vertical="center" wrapText="1"/>
    </xf>
    <xf numFmtId="1" fontId="16" fillId="13" borderId="34" xfId="0" applyNumberFormat="1" applyFont="1" applyFill="1" applyBorder="1" applyAlignment="1">
      <alignment horizontal="center" vertical="center" wrapText="1"/>
    </xf>
    <xf numFmtId="0" fontId="19" fillId="18" borderId="21" xfId="0" applyFont="1" applyFill="1" applyBorder="1" applyAlignment="1">
      <alignment horizontal="center" vertical="center" wrapText="1"/>
    </xf>
    <xf numFmtId="1" fontId="19" fillId="18" borderId="23" xfId="0" applyNumberFormat="1" applyFont="1" applyFill="1" applyBorder="1" applyAlignment="1">
      <alignment horizontal="center" vertical="center" wrapText="1"/>
    </xf>
    <xf numFmtId="0" fontId="15" fillId="17" borderId="24" xfId="0" applyFont="1" applyFill="1" applyBorder="1" applyAlignment="1">
      <alignment horizontal="center" vertical="center" wrapText="1"/>
    </xf>
    <xf numFmtId="0" fontId="15" fillId="17" borderId="25" xfId="0" applyFont="1" applyFill="1" applyBorder="1" applyAlignment="1">
      <alignment horizontal="center" vertical="center" wrapText="1"/>
    </xf>
    <xf numFmtId="0" fontId="15" fillId="17" borderId="26" xfId="0" applyFont="1" applyFill="1" applyBorder="1" applyAlignment="1">
      <alignment horizontal="center" vertical="center" wrapText="1"/>
    </xf>
    <xf numFmtId="0" fontId="19" fillId="16" borderId="35" xfId="0" applyFont="1" applyFill="1" applyBorder="1" applyAlignment="1">
      <alignment horizontal="center" vertical="center" wrapText="1"/>
    </xf>
    <xf numFmtId="0" fontId="19" fillId="16" borderId="36" xfId="0" applyFont="1" applyFill="1" applyBorder="1" applyAlignment="1">
      <alignment horizontal="center" vertical="center" wrapText="1"/>
    </xf>
    <xf numFmtId="1" fontId="19" fillId="16" borderId="36" xfId="0" applyNumberFormat="1" applyFont="1" applyFill="1" applyBorder="1" applyAlignment="1">
      <alignment horizontal="center" vertical="center" wrapText="1"/>
    </xf>
    <xf numFmtId="1" fontId="19" fillId="16" borderId="3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3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7" fillId="0" borderId="0" xfId="2" applyFont="1" applyAlignment="1">
      <alignment horizontal="center" vertical="top" wrapText="1"/>
    </xf>
    <xf numFmtId="0" fontId="11" fillId="0" borderId="0" xfId="2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77" fontId="1" fillId="0" borderId="5" xfId="0" applyNumberFormat="1" applyFont="1" applyBorder="1" applyAlignment="1">
      <alignment horizontal="center"/>
    </xf>
    <xf numFmtId="0" fontId="1" fillId="22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3" borderId="3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77" fontId="1" fillId="3" borderId="13" xfId="0" applyNumberFormat="1" applyFont="1" applyFill="1" applyBorder="1" applyAlignment="1">
      <alignment horizontal="center"/>
    </xf>
    <xf numFmtId="177" fontId="1" fillId="3" borderId="12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/>
    </xf>
    <xf numFmtId="0" fontId="1" fillId="25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9" fontId="1" fillId="0" borderId="14" xfId="0" applyNumberFormat="1" applyFont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6" borderId="7" xfId="0" applyFont="1" applyFill="1" applyBorder="1" applyAlignment="1">
      <alignment horizontal="center" vertical="center"/>
    </xf>
    <xf numFmtId="0" fontId="1" fillId="27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4" xfId="5" applyFont="1" applyAlignment="1">
      <alignment horizontal="center"/>
    </xf>
    <xf numFmtId="176" fontId="1" fillId="0" borderId="14" xfId="5" applyNumberFormat="1" applyFont="1" applyAlignment="1">
      <alignment horizontal="center" vertical="center"/>
    </xf>
    <xf numFmtId="0" fontId="1" fillId="0" borderId="14" xfId="5" applyFont="1" applyAlignment="1">
      <alignment horizontal="center" vertical="center"/>
    </xf>
    <xf numFmtId="9" fontId="1" fillId="0" borderId="14" xfId="8" applyFont="1" applyBorder="1" applyAlignment="1">
      <alignment horizontal="center" vertical="center" wrapText="1"/>
    </xf>
    <xf numFmtId="9" fontId="1" fillId="0" borderId="14" xfId="5" applyNumberFormat="1" applyFont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 wrapText="1"/>
    </xf>
    <xf numFmtId="9" fontId="1" fillId="0" borderId="14" xfId="0" applyNumberFormat="1" applyFont="1" applyBorder="1" applyAlignment="1">
      <alignment horizontal="center" vertical="center" wrapText="1"/>
    </xf>
    <xf numFmtId="2" fontId="1" fillId="0" borderId="14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178" fontId="1" fillId="0" borderId="14" xfId="0" applyNumberFormat="1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1" fontId="19" fillId="0" borderId="14" xfId="0" applyNumberFormat="1" applyFont="1" applyBorder="1" applyAlignment="1">
      <alignment horizontal="center" vertical="center" wrapText="1"/>
    </xf>
    <xf numFmtId="1" fontId="19" fillId="0" borderId="34" xfId="0" applyNumberFormat="1" applyFont="1" applyBorder="1" applyAlignment="1">
      <alignment horizontal="center" vertical="center" wrapText="1"/>
    </xf>
    <xf numFmtId="0" fontId="1" fillId="0" borderId="0" xfId="0" applyFont="1"/>
    <xf numFmtId="0" fontId="21" fillId="19" borderId="24" xfId="0" applyFont="1" applyFill="1" applyBorder="1" applyAlignment="1">
      <alignment horizontal="center" vertical="center" wrapText="1"/>
    </xf>
    <xf numFmtId="0" fontId="21" fillId="19" borderId="25" xfId="0" applyFont="1" applyFill="1" applyBorder="1" applyAlignment="1">
      <alignment horizontal="center" vertical="center" wrapText="1"/>
    </xf>
    <xf numFmtId="0" fontId="21" fillId="19" borderId="26" xfId="0" applyFont="1" applyFill="1" applyBorder="1" applyAlignment="1">
      <alignment horizontal="center" vertical="center" wrapText="1"/>
    </xf>
    <xf numFmtId="0" fontId="21" fillId="19" borderId="30" xfId="0" applyFont="1" applyFill="1" applyBorder="1" applyAlignment="1">
      <alignment horizontal="center" vertical="center" wrapText="1"/>
    </xf>
    <xf numFmtId="0" fontId="21" fillId="19" borderId="31" xfId="0" applyFont="1" applyFill="1" applyBorder="1" applyAlignment="1">
      <alignment horizontal="center" vertical="center" wrapText="1"/>
    </xf>
    <xf numFmtId="0" fontId="21" fillId="19" borderId="32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24" fillId="14" borderId="30" xfId="0" applyFont="1" applyFill="1" applyBorder="1" applyAlignment="1">
      <alignment horizontal="center" vertical="center" wrapText="1"/>
    </xf>
    <xf numFmtId="0" fontId="24" fillId="14" borderId="31" xfId="0" applyFont="1" applyFill="1" applyBorder="1" applyAlignment="1">
      <alignment horizontal="center" vertical="center" wrapText="1"/>
    </xf>
    <xf numFmtId="0" fontId="24" fillId="14" borderId="32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18" xfId="0" applyFont="1" applyFill="1" applyBorder="1" applyAlignment="1">
      <alignment horizontal="center" vertical="center"/>
    </xf>
    <xf numFmtId="0" fontId="13" fillId="15" borderId="19" xfId="0" applyFont="1" applyFill="1" applyBorder="1" applyAlignment="1">
      <alignment horizontal="center" vertical="center"/>
    </xf>
    <xf numFmtId="0" fontId="17" fillId="16" borderId="24" xfId="0" applyFont="1" applyFill="1" applyBorder="1" applyAlignment="1">
      <alignment horizontal="center" vertical="center"/>
    </xf>
    <xf numFmtId="0" fontId="17" fillId="16" borderId="26" xfId="0" applyFont="1" applyFill="1" applyBorder="1" applyAlignment="1">
      <alignment horizontal="center" vertical="center"/>
    </xf>
    <xf numFmtId="0" fontId="17" fillId="16" borderId="20" xfId="0" applyFont="1" applyFill="1" applyBorder="1" applyAlignment="1">
      <alignment horizontal="center" vertical="center"/>
    </xf>
    <xf numFmtId="0" fontId="17" fillId="16" borderId="22" xfId="0" applyFont="1" applyFill="1" applyBorder="1" applyAlignment="1">
      <alignment horizontal="center" vertical="center"/>
    </xf>
    <xf numFmtId="0" fontId="17" fillId="16" borderId="25" xfId="0" applyFont="1" applyFill="1" applyBorder="1" applyAlignment="1">
      <alignment horizontal="center" vertical="center"/>
    </xf>
    <xf numFmtId="0" fontId="17" fillId="16" borderId="15" xfId="0" applyFont="1" applyFill="1" applyBorder="1" applyAlignment="1">
      <alignment horizontal="center" vertical="center"/>
    </xf>
    <xf numFmtId="1" fontId="18" fillId="13" borderId="27" xfId="0" applyNumberFormat="1" applyFont="1" applyFill="1" applyBorder="1" applyAlignment="1">
      <alignment horizontal="center" vertical="center"/>
    </xf>
    <xf numFmtId="0" fontId="18" fillId="13" borderId="29" xfId="0" applyFont="1" applyFill="1" applyBorder="1" applyAlignment="1">
      <alignment horizontal="center" vertical="center"/>
    </xf>
    <xf numFmtId="1" fontId="14" fillId="13" borderId="27" xfId="0" applyNumberFormat="1" applyFont="1" applyFill="1" applyBorder="1" applyAlignment="1">
      <alignment horizontal="center" vertical="center"/>
    </xf>
    <xf numFmtId="1" fontId="14" fillId="13" borderId="28" xfId="0" applyNumberFormat="1" applyFont="1" applyFill="1" applyBorder="1" applyAlignment="1">
      <alignment horizontal="center" vertical="center"/>
    </xf>
    <xf numFmtId="1" fontId="14" fillId="13" borderId="29" xfId="0" applyNumberFormat="1" applyFont="1" applyFill="1" applyBorder="1" applyAlignment="1">
      <alignment horizontal="center" vertical="center"/>
    </xf>
    <xf numFmtId="1" fontId="12" fillId="13" borderId="28" xfId="0" applyNumberFormat="1" applyFont="1" applyFill="1" applyBorder="1" applyAlignment="1">
      <alignment horizontal="center" vertical="center"/>
    </xf>
    <xf numFmtId="1" fontId="12" fillId="13" borderId="29" xfId="0" applyNumberFormat="1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 wrapText="1"/>
    </xf>
    <xf numFmtId="0" fontId="1" fillId="22" borderId="2" xfId="0" applyFont="1" applyFill="1" applyBorder="1" applyAlignment="1">
      <alignment horizontal="center" vertical="center" wrapText="1"/>
    </xf>
    <xf numFmtId="0" fontId="1" fillId="22" borderId="3" xfId="0" applyFont="1" applyFill="1" applyBorder="1" applyAlignment="1">
      <alignment horizontal="center" vertical="center" wrapText="1"/>
    </xf>
    <xf numFmtId="0" fontId="1" fillId="22" borderId="4" xfId="0" applyFont="1" applyFill="1" applyBorder="1" applyAlignment="1">
      <alignment horizontal="center" vertical="center" wrapText="1"/>
    </xf>
    <xf numFmtId="0" fontId="1" fillId="22" borderId="14" xfId="0" applyFont="1" applyFill="1" applyBorder="1" applyAlignment="1">
      <alignment horizontal="center" vertical="center" wrapText="1"/>
    </xf>
    <xf numFmtId="0" fontId="1" fillId="22" borderId="5" xfId="0" applyFont="1" applyFill="1" applyBorder="1" applyAlignment="1">
      <alignment horizontal="center" vertical="center" wrapText="1"/>
    </xf>
    <xf numFmtId="0" fontId="1" fillId="22" borderId="6" xfId="0" applyFont="1" applyFill="1" applyBorder="1" applyAlignment="1">
      <alignment horizontal="center" vertical="center" wrapText="1"/>
    </xf>
    <xf numFmtId="0" fontId="1" fillId="22" borderId="7" xfId="0" applyFont="1" applyFill="1" applyBorder="1" applyAlignment="1">
      <alignment horizontal="center" vertical="center" wrapText="1"/>
    </xf>
    <xf numFmtId="0" fontId="1" fillId="22" borderId="8" xfId="0" applyFont="1" applyFill="1" applyBorder="1" applyAlignment="1">
      <alignment horizontal="center"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1" fillId="30" borderId="2" xfId="0" applyFont="1" applyFill="1" applyBorder="1" applyAlignment="1">
      <alignment horizontal="center" vertical="center" wrapText="1"/>
    </xf>
    <xf numFmtId="0" fontId="1" fillId="30" borderId="3" xfId="0" applyFont="1" applyFill="1" applyBorder="1" applyAlignment="1">
      <alignment horizontal="center" vertical="center" wrapText="1"/>
    </xf>
    <xf numFmtId="0" fontId="1" fillId="30" borderId="4" xfId="0" applyFont="1" applyFill="1" applyBorder="1" applyAlignment="1">
      <alignment horizontal="center" vertical="center" wrapText="1"/>
    </xf>
    <xf numFmtId="0" fontId="1" fillId="30" borderId="14" xfId="0" applyFont="1" applyFill="1" applyBorder="1" applyAlignment="1">
      <alignment horizontal="center" vertical="center" wrapText="1"/>
    </xf>
    <xf numFmtId="0" fontId="1" fillId="30" borderId="5" xfId="0" applyFont="1" applyFill="1" applyBorder="1" applyAlignment="1">
      <alignment horizontal="center" vertical="center" wrapText="1"/>
    </xf>
    <xf numFmtId="0" fontId="1" fillId="30" borderId="6" xfId="0" applyFont="1" applyFill="1" applyBorder="1" applyAlignment="1">
      <alignment horizontal="center" vertical="center" wrapText="1"/>
    </xf>
    <xf numFmtId="0" fontId="1" fillId="30" borderId="7" xfId="0" applyFont="1" applyFill="1" applyBorder="1" applyAlignment="1">
      <alignment horizontal="center" vertical="center" wrapText="1"/>
    </xf>
    <xf numFmtId="0" fontId="1" fillId="30" borderId="8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4" borderId="14" xfId="0" applyFont="1" applyFill="1" applyBorder="1" applyAlignment="1">
      <alignment horizontal="center" vertical="center"/>
    </xf>
    <xf numFmtId="0" fontId="1" fillId="29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28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3" borderId="6" xfId="0" applyFont="1" applyFill="1" applyBorder="1" applyAlignment="1">
      <alignment horizontal="center" vertical="center"/>
    </xf>
    <xf numFmtId="0" fontId="4" fillId="23" borderId="7" xfId="0" applyFont="1" applyFill="1" applyBorder="1" applyAlignment="1">
      <alignment horizontal="center" vertical="center"/>
    </xf>
    <xf numFmtId="0" fontId="4" fillId="23" borderId="8" xfId="0" applyFont="1" applyFill="1" applyBorder="1" applyAlignment="1">
      <alignment horizontal="center" vertical="center"/>
    </xf>
    <xf numFmtId="0" fontId="5" fillId="21" borderId="14" xfId="0" applyFont="1" applyFill="1" applyBorder="1" applyAlignment="1">
      <alignment horizontal="center" vertical="center" wrapText="1"/>
    </xf>
    <xf numFmtId="0" fontId="5" fillId="20" borderId="14" xfId="0" applyFont="1" applyFill="1" applyBorder="1" applyAlignment="1">
      <alignment horizontal="center" vertical="center" wrapText="1"/>
    </xf>
    <xf numFmtId="0" fontId="5" fillId="20" borderId="5" xfId="0" applyFont="1" applyFill="1" applyBorder="1" applyAlignment="1">
      <alignment horizontal="center" vertical="center" wrapText="1"/>
    </xf>
  </cellXfs>
  <cellStyles count="9">
    <cellStyle name="Normal" xfId="2" xr:uid="{00000000-0005-0000-0000-000000000000}"/>
    <cellStyle name="Normal 2" xfId="6" xr:uid="{2C40627B-0060-4377-8A91-AFF8178D0484}"/>
    <cellStyle name="百分比" xfId="8" builtinId="5"/>
    <cellStyle name="常规" xfId="0" builtinId="0"/>
    <cellStyle name="常规 2" xfId="1" xr:uid="{00000000-0005-0000-0000-000002000000}"/>
    <cellStyle name="常规 2 2" xfId="5" xr:uid="{76FFBABE-9117-4AF1-9EA3-CA10B242D942}"/>
    <cellStyle name="常规 3" xfId="3" xr:uid="{00000000-0005-0000-0000-000003000000}"/>
    <cellStyle name="常规 3 2" xfId="7" xr:uid="{89081A53-DE0B-4B56-A1DA-488106F0CF98}"/>
    <cellStyle name="常规 4" xfId="4" xr:uid="{14A84218-D7CA-4C62-A65E-8A46BB85F092}"/>
  </cellStyles>
  <dxfs count="14"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D1B2E8"/>
      <color rgb="FFCC00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D677-CBF7-4F0F-BAAA-3E0C686A9E38}">
  <sheetPr codeName="Sheet2"/>
  <dimension ref="A1:J29"/>
  <sheetViews>
    <sheetView topLeftCell="A7" workbookViewId="0">
      <selection activeCell="F29" sqref="F29"/>
    </sheetView>
  </sheetViews>
  <sheetFormatPr defaultRowHeight="15.6"/>
  <cols>
    <col min="1" max="1" width="37.21875" style="113" bestFit="1" customWidth="1"/>
    <col min="2" max="2" width="11.6640625" style="113" bestFit="1" customWidth="1"/>
    <col min="3" max="3" width="14.33203125" style="113" customWidth="1"/>
    <col min="4" max="4" width="13.5546875" style="113" customWidth="1"/>
    <col min="5" max="5" width="16.109375" style="113" bestFit="1" customWidth="1"/>
    <col min="6" max="6" width="18.5546875" style="113" bestFit="1" customWidth="1"/>
    <col min="7" max="16384" width="8.88671875" style="113"/>
  </cols>
  <sheetData>
    <row r="1" spans="1:10" ht="16.2" thickTop="1">
      <c r="A1" s="89" t="s">
        <v>130</v>
      </c>
      <c r="B1" s="90" t="s">
        <v>131</v>
      </c>
      <c r="C1" s="90" t="s">
        <v>0</v>
      </c>
      <c r="D1" s="90" t="s">
        <v>132</v>
      </c>
      <c r="E1" s="90" t="s">
        <v>179</v>
      </c>
      <c r="F1" s="91" t="s">
        <v>133</v>
      </c>
      <c r="H1" s="142" t="s">
        <v>182</v>
      </c>
      <c r="I1" s="143"/>
      <c r="J1" s="144"/>
    </row>
    <row r="2" spans="1:10">
      <c r="A2" s="7" t="s">
        <v>177</v>
      </c>
      <c r="B2" s="6">
        <v>0</v>
      </c>
      <c r="C2" s="6">
        <v>0</v>
      </c>
      <c r="D2" s="6">
        <v>0</v>
      </c>
      <c r="E2" s="6">
        <v>20</v>
      </c>
      <c r="F2" s="33"/>
      <c r="H2" s="145"/>
      <c r="I2" s="146"/>
      <c r="J2" s="147"/>
    </row>
    <row r="3" spans="1:10">
      <c r="A3" s="7" t="s">
        <v>170</v>
      </c>
      <c r="B3" s="6">
        <v>0</v>
      </c>
      <c r="C3" s="6">
        <v>0</v>
      </c>
      <c r="D3" s="6">
        <v>0</v>
      </c>
      <c r="E3" s="6">
        <v>20</v>
      </c>
      <c r="F3" s="33"/>
      <c r="H3" s="145"/>
      <c r="I3" s="146"/>
      <c r="J3" s="147"/>
    </row>
    <row r="4" spans="1:10">
      <c r="A4" s="7" t="s">
        <v>171</v>
      </c>
      <c r="B4" s="6">
        <v>0</v>
      </c>
      <c r="C4" s="6">
        <v>0</v>
      </c>
      <c r="D4" s="6">
        <v>10000</v>
      </c>
      <c r="E4" s="6">
        <v>20</v>
      </c>
      <c r="F4" s="33"/>
      <c r="H4" s="145"/>
      <c r="I4" s="146"/>
      <c r="J4" s="147"/>
    </row>
    <row r="5" spans="1:10">
      <c r="A5" s="7" t="s">
        <v>178</v>
      </c>
      <c r="B5" s="6">
        <v>68</v>
      </c>
      <c r="C5" s="6">
        <v>1000</v>
      </c>
      <c r="D5" s="6">
        <v>0</v>
      </c>
      <c r="E5" s="6">
        <v>80</v>
      </c>
      <c r="F5" s="33">
        <f>E5/C5</f>
        <v>0.08</v>
      </c>
      <c r="H5" s="145"/>
      <c r="I5" s="146"/>
      <c r="J5" s="147"/>
    </row>
    <row r="6" spans="1:10">
      <c r="A6" s="7" t="s">
        <v>164</v>
      </c>
      <c r="B6" s="6">
        <v>30</v>
      </c>
      <c r="C6" s="6">
        <v>500</v>
      </c>
      <c r="D6" s="6">
        <v>0</v>
      </c>
      <c r="E6" s="6">
        <v>10</v>
      </c>
      <c r="F6" s="33">
        <f t="shared" ref="F6:F11" si="0">E6/C6</f>
        <v>0.02</v>
      </c>
      <c r="H6" s="145"/>
      <c r="I6" s="146"/>
      <c r="J6" s="147"/>
    </row>
    <row r="7" spans="1:10">
      <c r="A7" s="7" t="s">
        <v>167</v>
      </c>
      <c r="B7" s="6">
        <v>60</v>
      </c>
      <c r="C7" s="6">
        <v>1000</v>
      </c>
      <c r="D7" s="6">
        <v>0</v>
      </c>
      <c r="E7" s="6">
        <v>20</v>
      </c>
      <c r="F7" s="33">
        <f t="shared" si="0"/>
        <v>0.02</v>
      </c>
      <c r="H7" s="145"/>
      <c r="I7" s="146"/>
      <c r="J7" s="147"/>
    </row>
    <row r="8" spans="1:10">
      <c r="A8" s="7" t="s">
        <v>165</v>
      </c>
      <c r="B8" s="6">
        <f>68</f>
        <v>68</v>
      </c>
      <c r="C8" s="6">
        <v>1000</v>
      </c>
      <c r="D8" s="6">
        <v>0</v>
      </c>
      <c r="E8" s="6">
        <v>20</v>
      </c>
      <c r="F8" s="33">
        <f t="shared" si="0"/>
        <v>0.02</v>
      </c>
      <c r="H8" s="145"/>
      <c r="I8" s="146"/>
      <c r="J8" s="147"/>
    </row>
    <row r="9" spans="1:10">
      <c r="A9" s="7" t="s">
        <v>168</v>
      </c>
      <c r="B9" s="6">
        <f>68*2</f>
        <v>136</v>
      </c>
      <c r="C9" s="6">
        <v>2000</v>
      </c>
      <c r="D9" s="6">
        <v>0</v>
      </c>
      <c r="E9" s="6">
        <v>40</v>
      </c>
      <c r="F9" s="33">
        <f t="shared" si="0"/>
        <v>0.02</v>
      </c>
      <c r="H9" s="145"/>
      <c r="I9" s="146"/>
      <c r="J9" s="147"/>
    </row>
    <row r="10" spans="1:10">
      <c r="A10" s="7" t="s">
        <v>166</v>
      </c>
      <c r="B10" s="6">
        <f>128</f>
        <v>128</v>
      </c>
      <c r="C10" s="6">
        <v>2000</v>
      </c>
      <c r="D10" s="6">
        <v>0</v>
      </c>
      <c r="E10" s="6">
        <v>30</v>
      </c>
      <c r="F10" s="33">
        <f t="shared" si="0"/>
        <v>1.4999999999999999E-2</v>
      </c>
      <c r="H10" s="145"/>
      <c r="I10" s="146"/>
      <c r="J10" s="147"/>
    </row>
    <row r="11" spans="1:10">
      <c r="A11" s="7" t="s">
        <v>169</v>
      </c>
      <c r="B11" s="6">
        <v>128</v>
      </c>
      <c r="C11" s="6">
        <v>2000</v>
      </c>
      <c r="D11" s="6">
        <v>0</v>
      </c>
      <c r="E11" s="6">
        <v>30</v>
      </c>
      <c r="F11" s="33">
        <f t="shared" si="0"/>
        <v>1.4999999999999999E-2</v>
      </c>
      <c r="H11" s="145"/>
      <c r="I11" s="146"/>
      <c r="J11" s="147"/>
    </row>
    <row r="12" spans="1:10">
      <c r="A12" s="7"/>
      <c r="B12" s="6"/>
      <c r="C12" s="6"/>
      <c r="D12" s="6"/>
      <c r="E12" s="6"/>
      <c r="F12" s="33"/>
      <c r="H12" s="145"/>
      <c r="I12" s="146"/>
      <c r="J12" s="147"/>
    </row>
    <row r="13" spans="1:10" ht="16.2" thickBot="1">
      <c r="A13" s="8" t="s">
        <v>1</v>
      </c>
      <c r="B13" s="92" t="str">
        <f>SUM(B2:B12)&amp;"元"</f>
        <v>618元</v>
      </c>
      <c r="C13" s="93" t="str">
        <f>SUM(C2:C11)&amp;"翡翠"</f>
        <v>9500翡翠</v>
      </c>
      <c r="D13" s="94" t="str">
        <f>SUM(D2:D11)&amp;"钻石"</f>
        <v>10000钻石</v>
      </c>
      <c r="E13" s="95" t="str">
        <f>SUM(E2:E11)&amp;"枚"</f>
        <v>290枚</v>
      </c>
      <c r="F13" s="96"/>
      <c r="H13" s="148"/>
      <c r="I13" s="149"/>
      <c r="J13" s="150"/>
    </row>
    <row r="14" spans="1:10" ht="16.2" thickTop="1"/>
    <row r="15" spans="1:10" ht="16.2" thickBot="1"/>
    <row r="16" spans="1:10" ht="16.2" thickTop="1">
      <c r="A16" s="89" t="s">
        <v>130</v>
      </c>
      <c r="B16" s="90" t="s">
        <v>131</v>
      </c>
      <c r="C16" s="90" t="s">
        <v>0</v>
      </c>
      <c r="D16" s="90" t="s">
        <v>132</v>
      </c>
      <c r="E16" s="90" t="s">
        <v>179</v>
      </c>
      <c r="F16" s="91" t="s">
        <v>133</v>
      </c>
      <c r="H16" s="151" t="s">
        <v>180</v>
      </c>
      <c r="I16" s="152"/>
      <c r="J16" s="153"/>
    </row>
    <row r="17" spans="1:10">
      <c r="A17" s="7" t="s">
        <v>177</v>
      </c>
      <c r="B17" s="6">
        <v>0</v>
      </c>
      <c r="C17" s="6">
        <v>0</v>
      </c>
      <c r="D17" s="6">
        <v>0</v>
      </c>
      <c r="E17" s="6">
        <v>20</v>
      </c>
      <c r="F17" s="33"/>
      <c r="H17" s="154"/>
      <c r="I17" s="155"/>
      <c r="J17" s="156"/>
    </row>
    <row r="18" spans="1:10">
      <c r="A18" s="7" t="s">
        <v>170</v>
      </c>
      <c r="B18" s="6">
        <v>0</v>
      </c>
      <c r="C18" s="6">
        <v>0</v>
      </c>
      <c r="D18" s="6">
        <v>0</v>
      </c>
      <c r="E18" s="6">
        <v>20</v>
      </c>
      <c r="F18" s="33"/>
      <c r="H18" s="154"/>
      <c r="I18" s="155"/>
      <c r="J18" s="156"/>
    </row>
    <row r="19" spans="1:10">
      <c r="A19" s="7" t="s">
        <v>171</v>
      </c>
      <c r="B19" s="6">
        <v>0</v>
      </c>
      <c r="C19" s="6">
        <v>0</v>
      </c>
      <c r="D19" s="6">
        <v>10000</v>
      </c>
      <c r="E19" s="6">
        <v>20</v>
      </c>
      <c r="F19" s="33"/>
      <c r="H19" s="154"/>
      <c r="I19" s="155"/>
      <c r="J19" s="156"/>
    </row>
    <row r="20" spans="1:10">
      <c r="A20" s="7" t="s">
        <v>178</v>
      </c>
      <c r="B20" s="6">
        <v>68</v>
      </c>
      <c r="C20" s="6">
        <v>1000</v>
      </c>
      <c r="D20" s="6">
        <v>0</v>
      </c>
      <c r="E20" s="6">
        <v>80</v>
      </c>
      <c r="F20" s="33">
        <f>E20/C20</f>
        <v>0.08</v>
      </c>
      <c r="H20" s="154"/>
      <c r="I20" s="155"/>
      <c r="J20" s="156"/>
    </row>
    <row r="21" spans="1:10">
      <c r="A21" s="7" t="s">
        <v>164</v>
      </c>
      <c r="B21" s="6">
        <v>30</v>
      </c>
      <c r="C21" s="6">
        <v>500</v>
      </c>
      <c r="D21" s="6">
        <v>0</v>
      </c>
      <c r="E21" s="6">
        <v>10</v>
      </c>
      <c r="F21" s="33">
        <f t="shared" ref="F21:F25" si="1">E21/C21</f>
        <v>0.02</v>
      </c>
      <c r="H21" s="154"/>
      <c r="I21" s="155"/>
      <c r="J21" s="156"/>
    </row>
    <row r="22" spans="1:10">
      <c r="A22" s="7" t="s">
        <v>167</v>
      </c>
      <c r="B22" s="6">
        <v>60</v>
      </c>
      <c r="C22" s="6">
        <v>1000</v>
      </c>
      <c r="D22" s="6">
        <v>0</v>
      </c>
      <c r="E22" s="6">
        <v>20</v>
      </c>
      <c r="F22" s="33">
        <f t="shared" si="1"/>
        <v>0.02</v>
      </c>
      <c r="H22" s="154"/>
      <c r="I22" s="155"/>
      <c r="J22" s="156"/>
    </row>
    <row r="23" spans="1:10">
      <c r="A23" s="7" t="s">
        <v>165</v>
      </c>
      <c r="B23" s="6">
        <f>68</f>
        <v>68</v>
      </c>
      <c r="C23" s="6">
        <v>1000</v>
      </c>
      <c r="D23" s="6">
        <v>0</v>
      </c>
      <c r="E23" s="6">
        <v>20</v>
      </c>
      <c r="F23" s="33">
        <f t="shared" si="1"/>
        <v>0.02</v>
      </c>
      <c r="H23" s="154"/>
      <c r="I23" s="155"/>
      <c r="J23" s="156"/>
    </row>
    <row r="24" spans="1:10">
      <c r="A24" s="7" t="s">
        <v>168</v>
      </c>
      <c r="B24" s="6">
        <f>68*2</f>
        <v>136</v>
      </c>
      <c r="C24" s="6">
        <v>2000</v>
      </c>
      <c r="D24" s="6">
        <v>0</v>
      </c>
      <c r="E24" s="6">
        <v>40</v>
      </c>
      <c r="F24" s="33">
        <f t="shared" si="1"/>
        <v>0.02</v>
      </c>
      <c r="H24" s="154"/>
      <c r="I24" s="155"/>
      <c r="J24" s="156"/>
    </row>
    <row r="25" spans="1:10">
      <c r="A25" s="7" t="s">
        <v>181</v>
      </c>
      <c r="B25" s="6">
        <v>328</v>
      </c>
      <c r="C25" s="6">
        <v>5000</v>
      </c>
      <c r="D25" s="6">
        <v>0</v>
      </c>
      <c r="E25" s="6">
        <v>70</v>
      </c>
      <c r="F25" s="33">
        <f t="shared" si="1"/>
        <v>1.4E-2</v>
      </c>
      <c r="H25" s="154"/>
      <c r="I25" s="155"/>
      <c r="J25" s="156"/>
    </row>
    <row r="26" spans="1:10">
      <c r="A26" s="7"/>
      <c r="B26" s="6"/>
      <c r="C26" s="6"/>
      <c r="D26" s="6"/>
      <c r="E26" s="6"/>
      <c r="F26" s="33"/>
      <c r="H26" s="154"/>
      <c r="I26" s="155"/>
      <c r="J26" s="156"/>
    </row>
    <row r="27" spans="1:10">
      <c r="A27" s="7"/>
      <c r="B27" s="6"/>
      <c r="C27" s="6"/>
      <c r="D27" s="6"/>
      <c r="E27" s="6"/>
      <c r="F27" s="33"/>
      <c r="H27" s="154"/>
      <c r="I27" s="155"/>
      <c r="J27" s="156"/>
    </row>
    <row r="28" spans="1:10" ht="16.2" thickBot="1">
      <c r="A28" s="8" t="s">
        <v>1</v>
      </c>
      <c r="B28" s="92" t="str">
        <f>SUM(B17:B27)&amp;"元"</f>
        <v>690元</v>
      </c>
      <c r="C28" s="93" t="str">
        <f>SUM(C17:C26)&amp;"翡翠"</f>
        <v>10500翡翠</v>
      </c>
      <c r="D28" s="94" t="str">
        <f>SUM(D17:D26)&amp;"钻石"</f>
        <v>10000钻石</v>
      </c>
      <c r="E28" s="95" t="str">
        <f>SUM(E17:E26)&amp;"枚"</f>
        <v>300枚</v>
      </c>
      <c r="F28" s="96"/>
      <c r="H28" s="157"/>
      <c r="I28" s="158"/>
      <c r="J28" s="159"/>
    </row>
    <row r="29" spans="1:10" ht="16.2" thickTop="1"/>
  </sheetData>
  <mergeCells count="2">
    <mergeCell ref="H1:J13"/>
    <mergeCell ref="H16:J28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CA11-D939-46F4-B5B2-5D22CCB6744C}">
  <sheetPr codeName="Sheet1"/>
  <dimension ref="B1:J29"/>
  <sheetViews>
    <sheetView workbookViewId="0">
      <selection activeCell="C7" sqref="C7"/>
    </sheetView>
  </sheetViews>
  <sheetFormatPr defaultRowHeight="15.6"/>
  <cols>
    <col min="1" max="1" width="8.88671875" style="6"/>
    <col min="2" max="2" width="20.33203125" style="6" customWidth="1"/>
    <col min="3" max="3" width="25.6640625" style="6" customWidth="1"/>
    <col min="4" max="4" width="9.44140625" style="6" customWidth="1"/>
    <col min="5" max="5" width="8.88671875" style="6"/>
    <col min="6" max="6" width="10.44140625" style="6" customWidth="1"/>
    <col min="7" max="7" width="23.44140625" style="6" bestFit="1" customWidth="1"/>
    <col min="8" max="8" width="20.44140625" style="6" customWidth="1"/>
    <col min="9" max="9" width="8.88671875" style="6"/>
    <col min="10" max="10" width="13.21875" style="6" customWidth="1"/>
    <col min="11" max="16384" width="8.88671875" style="6"/>
  </cols>
  <sheetData>
    <row r="1" spans="2:10" ht="16.8" thickTop="1" thickBot="1">
      <c r="B1" s="160" t="s">
        <v>94</v>
      </c>
      <c r="C1" s="161"/>
      <c r="D1" s="161"/>
      <c r="E1" s="162"/>
      <c r="G1" s="160" t="s">
        <v>95</v>
      </c>
      <c r="H1" s="161"/>
      <c r="I1" s="161"/>
      <c r="J1" s="162"/>
    </row>
    <row r="2" spans="2:10" ht="16.8" thickTop="1" thickBot="1">
      <c r="B2" s="87" t="s">
        <v>91</v>
      </c>
      <c r="C2" s="87" t="s">
        <v>92</v>
      </c>
      <c r="D2" s="87" t="s">
        <v>93</v>
      </c>
      <c r="E2" s="88" t="s">
        <v>117</v>
      </c>
      <c r="G2" s="88" t="s">
        <v>91</v>
      </c>
      <c r="H2" s="88" t="s">
        <v>92</v>
      </c>
      <c r="I2" s="88" t="s">
        <v>93</v>
      </c>
      <c r="J2" s="88" t="s">
        <v>117</v>
      </c>
    </row>
    <row r="3" spans="2:10" ht="16.8" thickTop="1" thickBot="1">
      <c r="B3" s="88" t="s">
        <v>137</v>
      </c>
      <c r="C3" s="88" t="s">
        <v>161</v>
      </c>
      <c r="D3" s="88">
        <v>5</v>
      </c>
      <c r="E3" s="88"/>
      <c r="G3" s="88" t="s">
        <v>135</v>
      </c>
      <c r="H3" s="88" t="s">
        <v>159</v>
      </c>
      <c r="I3" s="88">
        <v>1</v>
      </c>
      <c r="J3" s="88"/>
    </row>
    <row r="4" spans="2:10" ht="16.8" thickTop="1" thickBot="1">
      <c r="B4" s="88" t="s">
        <v>118</v>
      </c>
      <c r="C4" s="88" t="s">
        <v>162</v>
      </c>
      <c r="D4" s="88">
        <v>5</v>
      </c>
      <c r="E4" s="88"/>
      <c r="G4" s="88" t="s">
        <v>96</v>
      </c>
      <c r="H4" s="88" t="s">
        <v>160</v>
      </c>
      <c r="I4" s="88">
        <v>2</v>
      </c>
      <c r="J4" s="88"/>
    </row>
    <row r="5" spans="2:10" ht="16.8" thickTop="1" thickBot="1">
      <c r="B5" s="88" t="s">
        <v>119</v>
      </c>
      <c r="C5" s="88" t="s">
        <v>63</v>
      </c>
      <c r="D5" s="88">
        <v>5</v>
      </c>
      <c r="E5" s="88"/>
      <c r="G5" s="88" t="s">
        <v>97</v>
      </c>
      <c r="H5" s="88" t="s">
        <v>65</v>
      </c>
      <c r="I5" s="88">
        <v>5</v>
      </c>
      <c r="J5" s="88"/>
    </row>
    <row r="6" spans="2:10" ht="32.4" thickTop="1" thickBot="1">
      <c r="B6" s="88" t="s">
        <v>120</v>
      </c>
      <c r="C6" s="88" t="s">
        <v>183</v>
      </c>
      <c r="D6" s="88">
        <v>6</v>
      </c>
      <c r="E6" s="88"/>
      <c r="G6" s="88" t="s">
        <v>98</v>
      </c>
      <c r="H6" s="88" t="s">
        <v>72</v>
      </c>
      <c r="I6" s="88">
        <v>5</v>
      </c>
      <c r="J6" s="88"/>
    </row>
    <row r="7" spans="2:10" ht="16.8" thickTop="1" thickBot="1">
      <c r="B7" s="88" t="s">
        <v>121</v>
      </c>
      <c r="C7" s="88" t="s">
        <v>184</v>
      </c>
      <c r="D7" s="88">
        <v>20</v>
      </c>
      <c r="E7" s="88"/>
      <c r="G7" s="88" t="s">
        <v>99</v>
      </c>
      <c r="H7" s="88" t="s">
        <v>73</v>
      </c>
      <c r="I7" s="88">
        <v>5</v>
      </c>
      <c r="J7" s="88"/>
    </row>
    <row r="8" spans="2:10" ht="32.4" thickTop="1" thickBot="1">
      <c r="B8" s="88" t="s">
        <v>122</v>
      </c>
      <c r="C8" s="88" t="s">
        <v>64</v>
      </c>
      <c r="D8" s="88">
        <v>1</v>
      </c>
      <c r="E8" s="88"/>
      <c r="G8" s="88" t="s">
        <v>100</v>
      </c>
      <c r="H8" s="88" t="s">
        <v>74</v>
      </c>
      <c r="I8" s="88">
        <v>5</v>
      </c>
      <c r="J8" s="88"/>
    </row>
    <row r="9" spans="2:10" ht="32.4" thickTop="1" thickBot="1">
      <c r="B9" s="88" t="s">
        <v>123</v>
      </c>
      <c r="C9" s="88" t="s">
        <v>70</v>
      </c>
      <c r="D9" s="88">
        <v>5</v>
      </c>
      <c r="E9" s="88"/>
      <c r="G9" s="88" t="s">
        <v>101</v>
      </c>
      <c r="H9" s="88" t="s">
        <v>75</v>
      </c>
      <c r="I9" s="88">
        <v>5</v>
      </c>
      <c r="J9" s="88"/>
    </row>
    <row r="10" spans="2:10" ht="16.8" thickTop="1" thickBot="1">
      <c r="B10" s="88" t="s">
        <v>124</v>
      </c>
      <c r="C10" s="88" t="s">
        <v>125</v>
      </c>
      <c r="D10" s="88">
        <v>5</v>
      </c>
      <c r="E10" s="88"/>
      <c r="G10" s="88" t="s">
        <v>101</v>
      </c>
      <c r="H10" s="88" t="s">
        <v>76</v>
      </c>
      <c r="I10" s="88">
        <v>1</v>
      </c>
      <c r="J10" s="88"/>
    </row>
    <row r="11" spans="2:10" ht="16.8" thickTop="1" thickBot="1">
      <c r="B11" s="88" t="s">
        <v>126</v>
      </c>
      <c r="C11" s="88" t="s">
        <v>66</v>
      </c>
      <c r="D11" s="88">
        <v>1</v>
      </c>
      <c r="E11" s="88"/>
      <c r="G11" s="88" t="s">
        <v>102</v>
      </c>
      <c r="H11" s="88" t="s">
        <v>103</v>
      </c>
      <c r="I11" s="88">
        <v>3</v>
      </c>
      <c r="J11" s="88"/>
    </row>
    <row r="12" spans="2:10" ht="16.8" thickTop="1" thickBot="1">
      <c r="B12" s="88" t="s">
        <v>126</v>
      </c>
      <c r="C12" s="88" t="s">
        <v>127</v>
      </c>
      <c r="D12" s="88">
        <v>1</v>
      </c>
      <c r="E12" s="88"/>
      <c r="G12" s="88" t="s">
        <v>104</v>
      </c>
      <c r="H12" s="88" t="s">
        <v>77</v>
      </c>
      <c r="I12" s="88">
        <v>4</v>
      </c>
      <c r="J12" s="88"/>
    </row>
    <row r="13" spans="2:10" ht="16.8" thickTop="1" thickBot="1">
      <c r="B13" s="88" t="s">
        <v>128</v>
      </c>
      <c r="C13" s="88" t="s">
        <v>67</v>
      </c>
      <c r="D13" s="88">
        <v>1</v>
      </c>
      <c r="E13" s="88"/>
      <c r="G13" s="88" t="s">
        <v>105</v>
      </c>
      <c r="H13" s="88" t="s">
        <v>78</v>
      </c>
      <c r="I13" s="88">
        <v>10</v>
      </c>
      <c r="J13" s="88"/>
    </row>
    <row r="14" spans="2:10" ht="16.8" thickTop="1" thickBot="1">
      <c r="B14" s="88" t="s">
        <v>122</v>
      </c>
      <c r="C14" s="88" t="s">
        <v>68</v>
      </c>
      <c r="D14" s="88">
        <v>1</v>
      </c>
      <c r="E14" s="88"/>
      <c r="G14" s="88" t="s">
        <v>106</v>
      </c>
      <c r="H14" s="88" t="s">
        <v>79</v>
      </c>
      <c r="I14" s="88">
        <v>30</v>
      </c>
      <c r="J14" s="88"/>
    </row>
    <row r="15" spans="2:10" ht="16.8" thickTop="1" thickBot="1">
      <c r="B15" s="88" t="s">
        <v>120</v>
      </c>
      <c r="C15" s="88" t="s">
        <v>69</v>
      </c>
      <c r="D15" s="88">
        <v>1</v>
      </c>
      <c r="E15" s="88"/>
      <c r="G15" s="88" t="s">
        <v>107</v>
      </c>
      <c r="H15" s="88" t="s">
        <v>80</v>
      </c>
      <c r="I15" s="88">
        <v>5</v>
      </c>
      <c r="J15" s="88"/>
    </row>
    <row r="16" spans="2:10" ht="16.8" thickTop="1" thickBot="1">
      <c r="B16" s="88" t="s">
        <v>129</v>
      </c>
      <c r="C16" s="88" t="s">
        <v>71</v>
      </c>
      <c r="D16" s="88">
        <v>4294967295</v>
      </c>
      <c r="E16" s="88"/>
      <c r="G16" s="88" t="s">
        <v>107</v>
      </c>
      <c r="H16" s="88" t="s">
        <v>81</v>
      </c>
      <c r="I16" s="88">
        <v>20</v>
      </c>
      <c r="J16" s="88"/>
    </row>
    <row r="17" spans="2:10" ht="29.4" thickTop="1" thickBot="1">
      <c r="B17" s="86"/>
      <c r="C17" s="86"/>
      <c r="D17" s="86"/>
      <c r="E17" s="52"/>
      <c r="G17" s="88" t="s">
        <v>108</v>
      </c>
      <c r="H17" s="88" t="s">
        <v>82</v>
      </c>
      <c r="I17" s="88">
        <v>20</v>
      </c>
      <c r="J17" s="88"/>
    </row>
    <row r="18" spans="2:10" ht="48" thickTop="1" thickBot="1">
      <c r="B18" s="86"/>
      <c r="C18" s="86"/>
      <c r="D18" s="86"/>
      <c r="E18" s="52"/>
      <c r="G18" s="88" t="s">
        <v>109</v>
      </c>
      <c r="H18" s="88" t="s">
        <v>110</v>
      </c>
      <c r="I18" s="88">
        <v>4</v>
      </c>
      <c r="J18" s="88" t="s">
        <v>111</v>
      </c>
    </row>
    <row r="19" spans="2:10" ht="29.4" thickTop="1" thickBot="1">
      <c r="B19" s="86"/>
      <c r="C19" s="86"/>
      <c r="D19" s="86"/>
      <c r="E19" s="52"/>
      <c r="G19" s="88" t="s">
        <v>109</v>
      </c>
      <c r="H19" s="88" t="s">
        <v>83</v>
      </c>
      <c r="I19" s="88">
        <v>10</v>
      </c>
      <c r="J19" s="88"/>
    </row>
    <row r="20" spans="2:10" ht="29.4" thickTop="1" thickBot="1">
      <c r="B20" s="86"/>
      <c r="C20" s="86"/>
      <c r="D20" s="86"/>
      <c r="E20" s="52"/>
      <c r="G20" s="88" t="s">
        <v>109</v>
      </c>
      <c r="H20" s="88" t="s">
        <v>84</v>
      </c>
      <c r="I20" s="88">
        <v>10</v>
      </c>
      <c r="J20" s="88"/>
    </row>
    <row r="21" spans="2:10" ht="29.4" thickTop="1" thickBot="1">
      <c r="B21" s="86"/>
      <c r="C21" s="86"/>
      <c r="D21" s="86"/>
      <c r="E21" s="52"/>
      <c r="G21" s="88" t="s">
        <v>109</v>
      </c>
      <c r="H21" s="88" t="s">
        <v>85</v>
      </c>
      <c r="I21" s="88">
        <v>6</v>
      </c>
      <c r="J21" s="88"/>
    </row>
    <row r="22" spans="2:10" ht="29.4" thickTop="1" thickBot="1">
      <c r="B22" s="86"/>
      <c r="C22" s="86"/>
      <c r="D22" s="86"/>
      <c r="E22" s="52"/>
      <c r="G22" s="88" t="s">
        <v>109</v>
      </c>
      <c r="H22" s="88" t="s">
        <v>86</v>
      </c>
      <c r="I22" s="88">
        <v>6</v>
      </c>
      <c r="J22" s="88"/>
    </row>
    <row r="23" spans="2:10" ht="48" thickTop="1" thickBot="1">
      <c r="B23" s="86"/>
      <c r="C23" s="86"/>
      <c r="D23" s="86"/>
      <c r="E23" s="52"/>
      <c r="G23" s="88" t="s">
        <v>112</v>
      </c>
      <c r="H23" s="88" t="s">
        <v>113</v>
      </c>
      <c r="I23" s="88">
        <v>10</v>
      </c>
      <c r="J23" s="88" t="s">
        <v>111</v>
      </c>
    </row>
    <row r="24" spans="2:10" ht="29.4" thickTop="1" thickBot="1">
      <c r="B24" s="86"/>
      <c r="C24" s="86"/>
      <c r="D24" s="86"/>
      <c r="E24" s="52"/>
      <c r="G24" s="88" t="s">
        <v>114</v>
      </c>
      <c r="H24" s="88" t="s">
        <v>87</v>
      </c>
      <c r="I24" s="88">
        <v>10</v>
      </c>
      <c r="J24" s="88"/>
    </row>
    <row r="25" spans="2:10" ht="29.4" thickTop="1" thickBot="1">
      <c r="B25" s="86"/>
      <c r="C25" s="86"/>
      <c r="D25" s="86"/>
      <c r="E25" s="52"/>
      <c r="G25" s="88" t="s">
        <v>114</v>
      </c>
      <c r="H25" s="88" t="s">
        <v>71</v>
      </c>
      <c r="I25" s="88">
        <v>4294967295</v>
      </c>
      <c r="J25" s="88"/>
    </row>
    <row r="26" spans="2:10" ht="29.4" thickTop="1" thickBot="1">
      <c r="B26" s="86"/>
      <c r="C26" s="86"/>
      <c r="D26" s="86"/>
      <c r="E26" s="52"/>
      <c r="G26" s="88" t="s">
        <v>115</v>
      </c>
      <c r="H26" s="88" t="s">
        <v>88</v>
      </c>
      <c r="I26" s="88">
        <v>15</v>
      </c>
      <c r="J26" s="88"/>
    </row>
    <row r="27" spans="2:10" ht="29.4" thickTop="1" thickBot="1">
      <c r="B27" s="86"/>
      <c r="C27" s="86"/>
      <c r="D27" s="86"/>
      <c r="E27" s="52"/>
      <c r="G27" s="88" t="s">
        <v>116</v>
      </c>
      <c r="H27" s="88" t="s">
        <v>89</v>
      </c>
      <c r="I27" s="88">
        <v>200</v>
      </c>
      <c r="J27" s="88"/>
    </row>
    <row r="28" spans="2:10" ht="16.8" thickTop="1" thickBot="1">
      <c r="G28" s="88" t="s">
        <v>116</v>
      </c>
      <c r="H28" s="88" t="s">
        <v>90</v>
      </c>
      <c r="I28" s="88">
        <v>200</v>
      </c>
      <c r="J28" s="88"/>
    </row>
    <row r="29" spans="2:10" ht="16.2" thickTop="1"/>
  </sheetData>
  <mergeCells count="2">
    <mergeCell ref="G1:J1"/>
    <mergeCell ref="B1:E1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W36"/>
  <sheetViews>
    <sheetView topLeftCell="A10" workbookViewId="0">
      <selection activeCell="B49" sqref="B49"/>
    </sheetView>
  </sheetViews>
  <sheetFormatPr defaultRowHeight="15.6"/>
  <cols>
    <col min="1" max="1" width="16.77734375" style="27" customWidth="1"/>
    <col min="2" max="4" width="11.77734375" style="27" customWidth="1"/>
    <col min="5" max="5" width="8.88671875" style="27"/>
    <col min="6" max="6" width="11.6640625" style="27" customWidth="1"/>
    <col min="7" max="7" width="16.5546875" style="27" customWidth="1"/>
    <col min="8" max="8" width="25.44140625" style="27" customWidth="1"/>
    <col min="9" max="9" width="12.33203125" style="27" customWidth="1"/>
    <col min="10" max="10" width="13.77734375" style="27" customWidth="1"/>
    <col min="11" max="11" width="14" style="27" customWidth="1"/>
    <col min="12" max="12" width="11.6640625" style="27" customWidth="1"/>
    <col min="13" max="13" width="8.109375" style="27" customWidth="1"/>
    <col min="14" max="14" width="8.77734375" style="27" customWidth="1"/>
    <col min="15" max="15" width="9" style="27" customWidth="1"/>
    <col min="16" max="16" width="8.88671875" style="27"/>
    <col min="17" max="21" width="9" style="27" customWidth="1"/>
    <col min="22" max="22" width="16" style="27" customWidth="1"/>
    <col min="23" max="23" width="14.77734375" style="27" customWidth="1"/>
    <col min="24" max="16384" width="8.88671875" style="27"/>
  </cols>
  <sheetData>
    <row r="1" spans="1:23" ht="16.2" thickTop="1">
      <c r="A1" s="20" t="s">
        <v>2</v>
      </c>
      <c r="B1" s="21" t="s">
        <v>134</v>
      </c>
      <c r="F1" s="175" t="s">
        <v>145</v>
      </c>
      <c r="G1" s="175"/>
      <c r="H1" s="175"/>
      <c r="I1" s="175"/>
      <c r="K1" s="163" t="s">
        <v>144</v>
      </c>
      <c r="L1" s="163"/>
      <c r="M1" s="163"/>
      <c r="N1" s="163"/>
      <c r="Q1" s="29"/>
      <c r="R1" s="29"/>
      <c r="S1" s="29"/>
      <c r="T1" s="29"/>
      <c r="U1" s="29"/>
      <c r="V1" s="29"/>
      <c r="W1" s="29"/>
    </row>
    <row r="2" spans="1:23">
      <c r="A2" s="7" t="s">
        <v>3</v>
      </c>
      <c r="B2" s="26" t="s">
        <v>136</v>
      </c>
      <c r="F2" s="80"/>
      <c r="G2" s="83" t="s">
        <v>59</v>
      </c>
      <c r="H2" s="80" t="s">
        <v>60</v>
      </c>
      <c r="I2" s="80" t="s">
        <v>141</v>
      </c>
      <c r="K2" s="80"/>
      <c r="L2" s="83" t="s">
        <v>59</v>
      </c>
      <c r="M2" s="80" t="s">
        <v>60</v>
      </c>
      <c r="N2" s="80" t="s">
        <v>141</v>
      </c>
    </row>
    <row r="3" spans="1:23" ht="16.2" thickBot="1">
      <c r="A3" s="8" t="s">
        <v>7</v>
      </c>
      <c r="B3" s="17" t="s">
        <v>138</v>
      </c>
      <c r="F3" s="80" t="s">
        <v>139</v>
      </c>
      <c r="G3" s="98">
        <v>1</v>
      </c>
      <c r="H3" s="99">
        <v>2.5000000000000001E-2</v>
      </c>
      <c r="I3" s="100">
        <f>G3*H3</f>
        <v>2.5000000000000001E-2</v>
      </c>
      <c r="K3" s="80" t="str">
        <f>高级兑换道具</f>
        <v>大师魔法帽</v>
      </c>
      <c r="L3" s="98">
        <v>15</v>
      </c>
      <c r="M3" s="99">
        <v>2.5000000000000001E-2</v>
      </c>
      <c r="N3" s="100">
        <f>L3*M3</f>
        <v>0.375</v>
      </c>
      <c r="T3" s="30"/>
      <c r="U3" s="30"/>
      <c r="V3" s="30"/>
      <c r="W3" s="30"/>
    </row>
    <row r="4" spans="1:23" ht="16.8" thickTop="1" thickBot="1">
      <c r="F4" s="84" t="str">
        <f>高级兑换道具</f>
        <v>大师魔法帽</v>
      </c>
      <c r="G4" s="84">
        <v>4</v>
      </c>
      <c r="H4" s="101">
        <v>0.05</v>
      </c>
      <c r="I4" s="100">
        <f t="shared" ref="I4:I9" si="0">G4*H4</f>
        <v>0.2</v>
      </c>
      <c r="K4" s="84" t="str">
        <f>高级兑换道具</f>
        <v>大师魔法帽</v>
      </c>
      <c r="L4" s="84">
        <v>8</v>
      </c>
      <c r="M4" s="101">
        <v>0.1</v>
      </c>
      <c r="N4" s="100">
        <f t="shared" ref="N4:N9" si="1">L4*M4</f>
        <v>0.8</v>
      </c>
      <c r="T4" s="30"/>
      <c r="U4" s="30"/>
    </row>
    <row r="5" spans="1:23" ht="16.2" thickTop="1">
      <c r="A5" s="22" t="s">
        <v>8</v>
      </c>
      <c r="B5" s="23" t="s">
        <v>9</v>
      </c>
      <c r="C5" s="24" t="s">
        <v>10</v>
      </c>
      <c r="F5" s="80" t="str">
        <f>抽奖道具</f>
        <v>奇幻扭蛋币</v>
      </c>
      <c r="G5" s="98">
        <v>1</v>
      </c>
      <c r="H5" s="102">
        <v>0.25</v>
      </c>
      <c r="I5" s="100">
        <f t="shared" si="0"/>
        <v>0.25</v>
      </c>
      <c r="K5" s="80" t="str">
        <f>高级兑换道具</f>
        <v>大师魔法帽</v>
      </c>
      <c r="L5" s="98">
        <v>5</v>
      </c>
      <c r="M5" s="102">
        <v>0.1</v>
      </c>
      <c r="N5" s="100">
        <f t="shared" si="1"/>
        <v>0.5</v>
      </c>
      <c r="T5" s="30"/>
      <c r="U5" s="30"/>
    </row>
    <row r="6" spans="1:23">
      <c r="A6" s="3" t="s">
        <v>11</v>
      </c>
      <c r="B6" s="1">
        <v>800</v>
      </c>
      <c r="C6" s="4">
        <v>0</v>
      </c>
      <c r="F6" s="80" t="str">
        <f>普通兑换道具</f>
        <v>见习魔法帽</v>
      </c>
      <c r="G6" s="98">
        <v>50</v>
      </c>
      <c r="H6" s="102">
        <v>0.1</v>
      </c>
      <c r="I6" s="100">
        <f t="shared" si="0"/>
        <v>5</v>
      </c>
      <c r="K6" s="80" t="str">
        <f>普通兑换道具</f>
        <v>见习魔法帽</v>
      </c>
      <c r="L6" s="98">
        <v>50</v>
      </c>
      <c r="M6" s="102">
        <v>0.4</v>
      </c>
      <c r="N6" s="100">
        <f t="shared" si="1"/>
        <v>20</v>
      </c>
      <c r="T6" s="30"/>
      <c r="U6" s="30"/>
    </row>
    <row r="7" spans="1:23">
      <c r="A7" s="3" t="s">
        <v>12</v>
      </c>
      <c r="B7" s="1">
        <v>3000</v>
      </c>
      <c r="C7" s="4">
        <v>2</v>
      </c>
      <c r="F7" s="80" t="str">
        <f>普通兑换道具</f>
        <v>见习魔法帽</v>
      </c>
      <c r="G7" s="98">
        <v>30</v>
      </c>
      <c r="H7" s="102">
        <v>0.2</v>
      </c>
      <c r="I7" s="100">
        <f t="shared" si="0"/>
        <v>6</v>
      </c>
      <c r="K7" s="80" t="s">
        <v>139</v>
      </c>
      <c r="L7" s="98">
        <v>1</v>
      </c>
      <c r="M7" s="102">
        <v>0.05</v>
      </c>
      <c r="N7" s="100">
        <f t="shared" si="1"/>
        <v>0.05</v>
      </c>
      <c r="T7" s="30"/>
      <c r="U7" s="30"/>
    </row>
    <row r="8" spans="1:23">
      <c r="A8" s="3" t="s">
        <v>13</v>
      </c>
      <c r="B8" s="1">
        <v>4200</v>
      </c>
      <c r="C8" s="4">
        <f>档位奖励2+7</f>
        <v>9</v>
      </c>
      <c r="F8" s="80" t="str">
        <f>普通兑换道具</f>
        <v>见习魔法帽</v>
      </c>
      <c r="G8" s="98">
        <v>20</v>
      </c>
      <c r="H8" s="102">
        <v>0.25</v>
      </c>
      <c r="I8" s="100">
        <f>G8*H8</f>
        <v>5</v>
      </c>
      <c r="J8" s="29"/>
      <c r="K8" s="80" t="s">
        <v>140</v>
      </c>
      <c r="L8" s="98">
        <v>66</v>
      </c>
      <c r="M8" s="102">
        <v>0.3</v>
      </c>
      <c r="N8" s="100">
        <f t="shared" si="1"/>
        <v>19.8</v>
      </c>
      <c r="T8" s="30"/>
      <c r="U8" s="30"/>
    </row>
    <row r="9" spans="1:23">
      <c r="A9" s="3" t="s">
        <v>14</v>
      </c>
      <c r="B9" s="1">
        <v>8300</v>
      </c>
      <c r="C9" s="4">
        <f>档位奖励3+36</f>
        <v>45</v>
      </c>
      <c r="F9" s="85" t="s">
        <v>140</v>
      </c>
      <c r="G9" s="83">
        <v>36</v>
      </c>
      <c r="H9" s="103">
        <v>0.125</v>
      </c>
      <c r="I9" s="100">
        <f t="shared" si="0"/>
        <v>4.5</v>
      </c>
      <c r="K9" s="80" t="s">
        <v>142</v>
      </c>
      <c r="L9" s="83">
        <v>20</v>
      </c>
      <c r="M9" s="103">
        <v>2.5000000000000001E-2</v>
      </c>
      <c r="N9" s="100">
        <f t="shared" si="1"/>
        <v>0.5</v>
      </c>
      <c r="T9" s="30"/>
      <c r="U9" s="30"/>
    </row>
    <row r="10" spans="1:23" ht="16.2" thickBot="1">
      <c r="A10" s="5" t="s">
        <v>15</v>
      </c>
      <c r="B10" s="9">
        <v>10400</v>
      </c>
      <c r="C10" s="13">
        <f>档位奖励4+45</f>
        <v>90</v>
      </c>
      <c r="K10" s="84"/>
      <c r="L10" s="84"/>
      <c r="M10" s="84"/>
      <c r="N10" s="84"/>
      <c r="T10" s="30"/>
      <c r="U10" s="30"/>
    </row>
    <row r="11" spans="1:23" ht="16.8" thickTop="1" thickBot="1">
      <c r="H11" s="106"/>
      <c r="K11" s="84"/>
      <c r="L11" s="84"/>
      <c r="M11" s="84"/>
      <c r="N11" s="84"/>
      <c r="T11" s="30"/>
      <c r="U11" s="30"/>
    </row>
    <row r="12" spans="1:23" ht="16.2" thickTop="1">
      <c r="A12" s="172" t="s">
        <v>16</v>
      </c>
      <c r="B12" s="173"/>
      <c r="C12" s="174"/>
      <c r="F12" s="164" t="s">
        <v>149</v>
      </c>
      <c r="G12" s="164"/>
      <c r="H12" s="164"/>
      <c r="I12" s="164"/>
      <c r="K12" s="84"/>
      <c r="L12" s="84"/>
      <c r="M12" s="84"/>
      <c r="N12" s="84"/>
      <c r="T12" s="30"/>
      <c r="U12" s="30"/>
    </row>
    <row r="13" spans="1:23">
      <c r="A13" s="3" t="str">
        <f>"获得 1 " &amp; 抽奖道具</f>
        <v>获得 1 奇幻扭蛋币</v>
      </c>
      <c r="B13" s="83">
        <v>25</v>
      </c>
      <c r="C13" s="4" t="s">
        <v>6</v>
      </c>
      <c r="F13" s="27" t="s">
        <v>147</v>
      </c>
      <c r="G13" s="165" t="s">
        <v>143</v>
      </c>
      <c r="H13" s="165"/>
      <c r="I13" s="27" t="s">
        <v>146</v>
      </c>
      <c r="K13" s="84"/>
      <c r="L13" s="84"/>
      <c r="M13" s="84"/>
      <c r="N13" s="84"/>
      <c r="T13" s="30"/>
      <c r="U13" s="30"/>
    </row>
    <row r="14" spans="1:23" ht="31.2" customHeight="1">
      <c r="A14" s="3" t="str">
        <f xml:space="preserve"> "1 " &amp; 高级兑换道具</f>
        <v>1 大师魔法帽</v>
      </c>
      <c r="B14" s="83">
        <v>1</v>
      </c>
      <c r="C14" s="4" t="s">
        <v>6</v>
      </c>
      <c r="E14" s="84"/>
      <c r="F14" s="27" t="s">
        <v>150</v>
      </c>
      <c r="G14" s="165" t="s">
        <v>151</v>
      </c>
      <c r="H14" s="165"/>
      <c r="I14" s="107">
        <f>(5+0.025*15)/(1-0.25)</f>
        <v>7.166666666666667</v>
      </c>
      <c r="K14" s="80"/>
      <c r="L14" s="80"/>
      <c r="M14" s="85"/>
      <c r="N14" s="80"/>
      <c r="T14" s="30"/>
      <c r="U14" s="30"/>
    </row>
    <row r="15" spans="1:23" ht="47.4" customHeight="1" thickBot="1">
      <c r="A15" s="5"/>
      <c r="B15" s="9"/>
      <c r="C15" s="13"/>
      <c r="E15" s="84"/>
      <c r="F15" s="27" t="s">
        <v>152</v>
      </c>
      <c r="G15" s="165" t="s">
        <v>153</v>
      </c>
      <c r="H15" s="165"/>
      <c r="I15" s="107">
        <f>I14/(20-0.05*15)</f>
        <v>0.37229437229437229</v>
      </c>
      <c r="K15" s="97"/>
      <c r="L15" s="80"/>
      <c r="M15" s="85"/>
      <c r="N15" s="80"/>
      <c r="T15" s="30"/>
      <c r="U15" s="30"/>
    </row>
    <row r="16" spans="1:23" ht="30.6" customHeight="1" thickTop="1" thickBot="1">
      <c r="F16" s="27" t="s">
        <v>139</v>
      </c>
      <c r="G16" s="165" t="s">
        <v>154</v>
      </c>
      <c r="H16" s="165"/>
      <c r="I16" s="107">
        <f>0.025/0.75+0.05*I15</f>
        <v>5.1948051948051951E-2</v>
      </c>
      <c r="K16" s="80"/>
      <c r="L16" s="80"/>
      <c r="M16" s="104"/>
      <c r="N16" s="105"/>
      <c r="T16" s="30"/>
      <c r="U16" s="30"/>
    </row>
    <row r="17" spans="1:21" ht="32.4" customHeight="1" thickTop="1">
      <c r="A17" s="166" t="s">
        <v>17</v>
      </c>
      <c r="B17" s="167"/>
      <c r="C17" s="168"/>
      <c r="F17" s="27" t="str">
        <f>普通兑换道具</f>
        <v>见习魔法帽</v>
      </c>
      <c r="G17" s="165" t="s">
        <v>155</v>
      </c>
      <c r="H17" s="165"/>
      <c r="I17" s="108">
        <f>(5+6+5)/0.75+20*I15</f>
        <v>28.779220779220779</v>
      </c>
      <c r="T17" s="30"/>
      <c r="U17" s="30"/>
    </row>
    <row r="18" spans="1:21" ht="31.2" customHeight="1">
      <c r="A18" s="3" t="str">
        <f>"1"&amp; 抽奖道具</f>
        <v>1奇幻扭蛋币</v>
      </c>
      <c r="B18" s="1">
        <v>200</v>
      </c>
      <c r="C18" s="4" t="s">
        <v>18</v>
      </c>
      <c r="F18" s="84" t="str">
        <f>高级兑换道具</f>
        <v>大师魔法帽</v>
      </c>
      <c r="G18" s="176" t="s">
        <v>156</v>
      </c>
      <c r="H18" s="176"/>
      <c r="I18" s="108">
        <f>0.2/0.75+(0.375+0.8+0.5)*I15</f>
        <v>0.89025974025974031</v>
      </c>
      <c r="T18" s="30"/>
      <c r="U18" s="30"/>
    </row>
    <row r="19" spans="1:21" ht="47.4" customHeight="1" thickBot="1">
      <c r="A19" s="5" t="s">
        <v>19</v>
      </c>
      <c r="B19" s="9">
        <v>70</v>
      </c>
      <c r="C19" s="13" t="s">
        <v>20</v>
      </c>
      <c r="F19" s="27" t="s">
        <v>148</v>
      </c>
      <c r="G19" s="165" t="s">
        <v>157</v>
      </c>
      <c r="H19" s="165"/>
      <c r="I19" s="107">
        <f>0.25*25/0.75+高级兑换道具抽奖期望*1</f>
        <v>9.223593073593074</v>
      </c>
      <c r="T19" s="30"/>
      <c r="U19" s="30"/>
    </row>
    <row r="20" spans="1:21" ht="16.8" thickTop="1" thickBot="1">
      <c r="T20" s="30"/>
      <c r="U20" s="30"/>
    </row>
    <row r="21" spans="1:21" ht="16.2" thickTop="1">
      <c r="A21" s="169" t="s">
        <v>21</v>
      </c>
      <c r="B21" s="170"/>
      <c r="C21" s="170"/>
      <c r="D21" s="171"/>
      <c r="T21" s="30"/>
      <c r="U21" s="30"/>
    </row>
    <row r="22" spans="1:21">
      <c r="A22" s="3" t="s">
        <v>4</v>
      </c>
      <c r="B22" s="1" t="s">
        <v>5</v>
      </c>
      <c r="C22" s="1" t="s">
        <v>22</v>
      </c>
      <c r="D22" s="4" t="s">
        <v>23</v>
      </c>
      <c r="T22" s="30"/>
      <c r="U22" s="30"/>
    </row>
    <row r="23" spans="1:21">
      <c r="A23" s="3">
        <v>10</v>
      </c>
      <c r="B23" s="2">
        <v>0.95</v>
      </c>
      <c r="C23" s="1">
        <f>B23*A23</f>
        <v>9.5</v>
      </c>
      <c r="D23" s="4">
        <f>C23*积分规则2</f>
        <v>9.5</v>
      </c>
      <c r="T23" s="30"/>
      <c r="U23" s="30"/>
    </row>
    <row r="24" spans="1:21">
      <c r="A24" s="3">
        <v>15</v>
      </c>
      <c r="B24" s="18">
        <v>4.9000000000000002E-2</v>
      </c>
      <c r="C24" s="1">
        <f t="shared" ref="C24:C25" si="2">B24*A24</f>
        <v>0.73499999999999999</v>
      </c>
      <c r="D24" s="4">
        <f>C24*积分规则2</f>
        <v>0.73499999999999999</v>
      </c>
    </row>
    <row r="25" spans="1:21">
      <c r="A25" s="3">
        <v>20</v>
      </c>
      <c r="B25" s="19">
        <v>1E-3</v>
      </c>
      <c r="C25" s="1">
        <f t="shared" si="2"/>
        <v>0.02</v>
      </c>
      <c r="D25" s="4">
        <f>C25*积分规则2</f>
        <v>0.02</v>
      </c>
    </row>
    <row r="26" spans="1:21" ht="16.2" thickBot="1">
      <c r="A26" s="5"/>
      <c r="B26" s="11" t="s">
        <v>1</v>
      </c>
      <c r="C26" s="11">
        <f>SUM(C23:C25)</f>
        <v>10.254999999999999</v>
      </c>
      <c r="D26" s="12">
        <f>C26*积分规则2</f>
        <v>10.254999999999999</v>
      </c>
    </row>
    <row r="28" spans="1:21" ht="16.2" thickTop="1">
      <c r="A28" s="31" t="s">
        <v>24</v>
      </c>
      <c r="B28" s="32" t="s">
        <v>0</v>
      </c>
    </row>
    <row r="29" spans="1:21">
      <c r="A29" s="3">
        <v>6</v>
      </c>
      <c r="B29" s="4">
        <v>100</v>
      </c>
    </row>
    <row r="30" spans="1:21">
      <c r="A30" s="3">
        <v>30</v>
      </c>
      <c r="B30" s="4">
        <v>500</v>
      </c>
    </row>
    <row r="31" spans="1:21">
      <c r="A31" s="3">
        <v>68</v>
      </c>
      <c r="B31" s="4">
        <v>1000</v>
      </c>
    </row>
    <row r="32" spans="1:21">
      <c r="A32" s="3">
        <v>98</v>
      </c>
      <c r="B32" s="4">
        <v>1500</v>
      </c>
    </row>
    <row r="33" spans="1:2">
      <c r="A33" s="3">
        <v>128</v>
      </c>
      <c r="B33" s="4">
        <v>2000</v>
      </c>
    </row>
    <row r="34" spans="1:2">
      <c r="A34" s="3">
        <v>198</v>
      </c>
      <c r="B34" s="4">
        <v>3000</v>
      </c>
    </row>
    <row r="35" spans="1:2">
      <c r="A35" s="3">
        <v>328</v>
      </c>
      <c r="B35" s="4">
        <v>5000</v>
      </c>
    </row>
    <row r="36" spans="1:2">
      <c r="A36" s="5">
        <v>648</v>
      </c>
      <c r="B36" s="13">
        <v>10000</v>
      </c>
    </row>
  </sheetData>
  <mergeCells count="13">
    <mergeCell ref="A17:C17"/>
    <mergeCell ref="A21:D21"/>
    <mergeCell ref="A12:C12"/>
    <mergeCell ref="F1:I1"/>
    <mergeCell ref="G16:H16"/>
    <mergeCell ref="G18:H18"/>
    <mergeCell ref="G19:H19"/>
    <mergeCell ref="K1:N1"/>
    <mergeCell ref="F12:I12"/>
    <mergeCell ref="G13:H13"/>
    <mergeCell ref="G17:H17"/>
    <mergeCell ref="G14:H14"/>
    <mergeCell ref="G15:H15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S74"/>
  <sheetViews>
    <sheetView topLeftCell="A7" workbookViewId="0">
      <selection activeCell="R15" sqref="R15"/>
    </sheetView>
  </sheetViews>
  <sheetFormatPr defaultRowHeight="15.6"/>
  <cols>
    <col min="1" max="1" width="3.77734375" style="1" customWidth="1"/>
    <col min="2" max="2" width="16.10937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77" t="s">
        <v>25</v>
      </c>
      <c r="D2" s="178"/>
      <c r="E2" s="177" t="s">
        <v>26</v>
      </c>
      <c r="F2" s="178"/>
      <c r="G2" s="177" t="s">
        <v>27</v>
      </c>
      <c r="H2" s="178"/>
      <c r="I2" s="177" t="s">
        <v>28</v>
      </c>
      <c r="J2" s="178"/>
      <c r="K2" s="177" t="s">
        <v>29</v>
      </c>
      <c r="L2" s="178"/>
      <c r="M2" s="177" t="s">
        <v>30</v>
      </c>
      <c r="N2" s="178"/>
      <c r="O2" s="177" t="s">
        <v>31</v>
      </c>
      <c r="P2" s="178"/>
    </row>
    <row r="3" spans="2:16" ht="16.2" thickBot="1">
      <c r="B3" s="15"/>
      <c r="C3" s="3" t="str">
        <f>抽奖道具</f>
        <v>奇幻扭蛋币</v>
      </c>
      <c r="D3" s="4" t="s">
        <v>6</v>
      </c>
      <c r="E3" s="3" t="str">
        <f>抽奖道具</f>
        <v>奇幻扭蛋币</v>
      </c>
      <c r="F3" s="4" t="s">
        <v>6</v>
      </c>
      <c r="G3" s="3" t="str">
        <f>抽奖道具</f>
        <v>奇幻扭蛋币</v>
      </c>
      <c r="H3" s="4" t="s">
        <v>6</v>
      </c>
      <c r="I3" s="3" t="str">
        <f>抽奖道具</f>
        <v>奇幻扭蛋币</v>
      </c>
      <c r="J3" s="4" t="s">
        <v>6</v>
      </c>
      <c r="K3" s="3" t="str">
        <f>抽奖道具</f>
        <v>奇幻扭蛋币</v>
      </c>
      <c r="L3" s="4" t="s">
        <v>6</v>
      </c>
      <c r="M3" s="3" t="str">
        <f>抽奖道具</f>
        <v>奇幻扭蛋币</v>
      </c>
      <c r="N3" s="4" t="s">
        <v>6</v>
      </c>
      <c r="O3" s="3" t="str">
        <f>抽奖道具</f>
        <v>奇幻扭蛋币</v>
      </c>
      <c r="P3" s="4" t="s">
        <v>6</v>
      </c>
    </row>
    <row r="4" spans="2:16" ht="16.2" thickTop="1">
      <c r="B4" s="59" t="s">
        <v>55</v>
      </c>
      <c r="C4" s="3">
        <v>3</v>
      </c>
      <c r="D4" s="4">
        <f t="shared" ref="D4:P12" si="0">C4*积分规则1</f>
        <v>75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26</v>
      </c>
      <c r="D5" s="4">
        <f t="shared" si="0"/>
        <v>650</v>
      </c>
      <c r="E5" s="3">
        <v>26</v>
      </c>
      <c r="F5" s="4">
        <f t="shared" si="1"/>
        <v>650</v>
      </c>
      <c r="G5" s="3">
        <v>26</v>
      </c>
      <c r="H5" s="4">
        <f t="shared" si="2"/>
        <v>650</v>
      </c>
      <c r="I5" s="3">
        <v>26</v>
      </c>
      <c r="J5" s="4">
        <f t="shared" si="3"/>
        <v>650</v>
      </c>
      <c r="K5" s="3">
        <v>26</v>
      </c>
      <c r="L5" s="4">
        <f t="shared" si="4"/>
        <v>650</v>
      </c>
      <c r="M5" s="3">
        <v>26</v>
      </c>
      <c r="N5" s="4">
        <f t="shared" si="5"/>
        <v>650</v>
      </c>
      <c r="O5" s="3">
        <v>26</v>
      </c>
      <c r="P5" s="4">
        <f t="shared" si="6"/>
        <v>650</v>
      </c>
    </row>
    <row r="6" spans="2:16">
      <c r="B6" s="16" t="s">
        <v>17</v>
      </c>
      <c r="C6" s="3">
        <v>70</v>
      </c>
      <c r="D6" s="4">
        <f t="shared" si="0"/>
        <v>1750</v>
      </c>
      <c r="E6" s="3">
        <v>70</v>
      </c>
      <c r="F6" s="4">
        <f t="shared" si="1"/>
        <v>1750</v>
      </c>
      <c r="G6" s="3">
        <v>70</v>
      </c>
      <c r="H6" s="4">
        <f t="shared" si="2"/>
        <v>1750</v>
      </c>
      <c r="I6" s="3">
        <v>70</v>
      </c>
      <c r="J6" s="4">
        <f t="shared" si="3"/>
        <v>1750</v>
      </c>
      <c r="K6" s="3">
        <v>70</v>
      </c>
      <c r="L6" s="4">
        <f t="shared" si="4"/>
        <v>1750</v>
      </c>
      <c r="M6" s="3">
        <v>70</v>
      </c>
      <c r="N6" s="4">
        <f t="shared" si="5"/>
        <v>1750</v>
      </c>
      <c r="O6" s="3">
        <v>70</v>
      </c>
      <c r="P6" s="4">
        <f t="shared" si="6"/>
        <v>1750</v>
      </c>
    </row>
    <row r="7" spans="2:16">
      <c r="B7" s="82" t="s">
        <v>51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/>
      <c r="J7" s="4">
        <f t="shared" si="3"/>
        <v>0</v>
      </c>
      <c r="K7" s="3">
        <v>0</v>
      </c>
      <c r="L7" s="4">
        <f t="shared" si="4"/>
        <v>0</v>
      </c>
      <c r="M7" s="3">
        <v>0</v>
      </c>
      <c r="N7" s="4">
        <f t="shared" si="5"/>
        <v>0</v>
      </c>
      <c r="O7" s="3">
        <v>0</v>
      </c>
      <c r="P7" s="4">
        <f t="shared" si="6"/>
        <v>0</v>
      </c>
    </row>
    <row r="8" spans="2:16">
      <c r="B8" s="15" t="s">
        <v>52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62</v>
      </c>
      <c r="C9" s="3">
        <v>0</v>
      </c>
      <c r="D9" s="4">
        <f t="shared" si="0"/>
        <v>0</v>
      </c>
      <c r="E9" s="3">
        <v>0</v>
      </c>
      <c r="F9" s="4">
        <f t="shared" si="0"/>
        <v>0</v>
      </c>
      <c r="G9" s="3">
        <v>0</v>
      </c>
      <c r="H9" s="4">
        <f t="shared" si="0"/>
        <v>0</v>
      </c>
      <c r="I9" s="3">
        <v>0</v>
      </c>
      <c r="J9" s="4">
        <f t="shared" si="0"/>
        <v>0</v>
      </c>
      <c r="K9" s="3">
        <v>0</v>
      </c>
      <c r="L9" s="4">
        <f t="shared" si="0"/>
        <v>0</v>
      </c>
      <c r="M9" s="3">
        <v>0</v>
      </c>
      <c r="N9" s="4">
        <f t="shared" si="0"/>
        <v>0</v>
      </c>
      <c r="O9" s="3">
        <v>0</v>
      </c>
      <c r="P9" s="4">
        <f t="shared" si="0"/>
        <v>0</v>
      </c>
    </row>
    <row r="10" spans="2:16" ht="16.2" thickBot="1">
      <c r="B10" s="60" t="s">
        <v>50</v>
      </c>
      <c r="C10" s="3">
        <v>0</v>
      </c>
      <c r="D10" s="4">
        <f>C10*积分规则1</f>
        <v>0</v>
      </c>
      <c r="E10" s="3">
        <v>0</v>
      </c>
      <c r="F10" s="4">
        <f>E10*积分规则1</f>
        <v>0</v>
      </c>
      <c r="G10" s="3">
        <v>0</v>
      </c>
      <c r="H10" s="4">
        <f>G10*积分规则1</f>
        <v>0</v>
      </c>
      <c r="I10" s="3">
        <v>0</v>
      </c>
      <c r="J10" s="4">
        <f>I10*积分规则1</f>
        <v>0</v>
      </c>
      <c r="K10" s="3">
        <v>0</v>
      </c>
      <c r="L10" s="4">
        <f>K10*积分规则1</f>
        <v>0</v>
      </c>
      <c r="M10" s="3">
        <v>0</v>
      </c>
      <c r="N10" s="4">
        <f>M10*积分规则1</f>
        <v>0</v>
      </c>
      <c r="O10" s="3">
        <v>0</v>
      </c>
      <c r="P10" s="4">
        <f>O10*积分规则1</f>
        <v>0</v>
      </c>
    </row>
    <row r="11" spans="2:16" ht="16.2" thickTop="1">
      <c r="B11" s="61" t="s">
        <v>53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Bot="1">
      <c r="B12" s="62" t="s">
        <v>54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70" t="str">
        <f>"使用"&amp;抽奖道具</f>
        <v>使用奇幻扭蛋币</v>
      </c>
      <c r="C13" s="3">
        <v>0</v>
      </c>
      <c r="D13" s="4">
        <f>C13*积分规则3</f>
        <v>0</v>
      </c>
      <c r="E13" s="3">
        <v>0</v>
      </c>
      <c r="F13" s="4">
        <f>E13*积分规则3</f>
        <v>0</v>
      </c>
      <c r="G13" s="3">
        <v>0</v>
      </c>
      <c r="H13" s="4">
        <f>G13*积分规则3</f>
        <v>0</v>
      </c>
      <c r="I13" s="3">
        <v>0</v>
      </c>
      <c r="J13" s="4">
        <f>I13*积分规则3</f>
        <v>0</v>
      </c>
      <c r="K13" s="3">
        <v>0</v>
      </c>
      <c r="L13" s="4">
        <f>K13*积分规则3</f>
        <v>0</v>
      </c>
      <c r="M13" s="3">
        <v>0</v>
      </c>
      <c r="N13" s="4">
        <f>M13*积分规则3</f>
        <v>0</v>
      </c>
      <c r="O13" s="3">
        <v>675</v>
      </c>
      <c r="P13" s="4">
        <f>O13*积分规则3</f>
        <v>6225.9253246753251</v>
      </c>
    </row>
    <row r="14" spans="2:16" ht="16.2" thickBot="1">
      <c r="B14" s="63" t="str">
        <f>"剩余"&amp;抽奖道具</f>
        <v>剩余奇幻扭蛋币</v>
      </c>
      <c r="C14" s="3">
        <f>C22-C13</f>
        <v>99</v>
      </c>
      <c r="D14" s="4"/>
      <c r="E14" s="3">
        <f>C14+SUM(E4:E12)-E13</f>
        <v>195</v>
      </c>
      <c r="F14" s="4"/>
      <c r="G14" s="3">
        <f>E14+SUM(G4:G12)-G13</f>
        <v>291</v>
      </c>
      <c r="H14" s="4"/>
      <c r="I14" s="3">
        <f>G14+SUM(I4:I12)-I13</f>
        <v>387</v>
      </c>
      <c r="J14" s="4"/>
      <c r="K14" s="3">
        <f>I14+SUM(K4:K12)-K13</f>
        <v>483</v>
      </c>
      <c r="L14" s="4"/>
      <c r="M14" s="3">
        <f>K14+SUM(M4:M12)-M13</f>
        <v>579</v>
      </c>
      <c r="N14" s="4"/>
      <c r="O14" s="3">
        <f>M14+SUM(O4:O12)-O13</f>
        <v>0</v>
      </c>
      <c r="P14" s="4"/>
    </row>
    <row r="15" spans="2:16" ht="16.2" thickTop="1">
      <c r="B15" s="64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0</v>
      </c>
      <c r="L15" s="4">
        <f>K15*随机箱积分</f>
        <v>0</v>
      </c>
      <c r="M15" s="3">
        <v>0</v>
      </c>
      <c r="N15" s="4">
        <f>M15*随机箱积分</f>
        <v>0</v>
      </c>
      <c r="O15" s="3">
        <v>45</v>
      </c>
      <c r="P15" s="69">
        <f>O15*随机箱积分</f>
        <v>461.47499999999997</v>
      </c>
    </row>
    <row r="16" spans="2:16" ht="16.2" thickBot="1">
      <c r="B16" s="63" t="s">
        <v>34</v>
      </c>
      <c r="C16" s="3">
        <f>C23-SUM(C15)</f>
        <v>0</v>
      </c>
      <c r="D16" s="4"/>
      <c r="E16" s="3">
        <f>E23-SUM(C15,E15)</f>
        <v>0</v>
      </c>
      <c r="F16" s="4"/>
      <c r="G16" s="3">
        <f>G23-SUM(C15,E15,G15)</f>
        <v>0</v>
      </c>
      <c r="H16" s="4"/>
      <c r="I16" s="3">
        <f>I23-SUM(C15,E15,G15,I15)</f>
        <v>0</v>
      </c>
      <c r="J16" s="4"/>
      <c r="K16" s="3">
        <f>K23-SUM(C15,E15,G15,I15,K15)</f>
        <v>0</v>
      </c>
      <c r="L16" s="4"/>
      <c r="M16" s="3">
        <f>M23-SUM(C15,E15,G15,I15,K15,M15)</f>
        <v>0</v>
      </c>
      <c r="N16" s="4"/>
      <c r="O16" s="3">
        <f>O23-SUM(C15,E15,G15,I15,K15,M15,O15)</f>
        <v>0</v>
      </c>
      <c r="P16" s="4"/>
    </row>
    <row r="17" spans="2:16" ht="16.2" thickTop="1">
      <c r="B17" s="65" t="str">
        <f>"商店换"&amp;高级兑换道具</f>
        <v>商店换大师魔法帽</v>
      </c>
      <c r="C17" s="3">
        <v>0</v>
      </c>
      <c r="D17" s="4">
        <f>C17*积分规则2</f>
        <v>0</v>
      </c>
      <c r="E17" s="3">
        <v>0</v>
      </c>
      <c r="F17" s="4">
        <f>E17*积分规则2</f>
        <v>0</v>
      </c>
      <c r="G17" s="3">
        <v>0</v>
      </c>
      <c r="H17" s="4">
        <f>G17*积分规则2</f>
        <v>0</v>
      </c>
      <c r="I17" s="3">
        <v>0</v>
      </c>
      <c r="J17" s="4">
        <f>I17*积分规则2</f>
        <v>0</v>
      </c>
      <c r="K17" s="3">
        <v>0</v>
      </c>
      <c r="L17" s="4">
        <f>K17*积分规则2</f>
        <v>0</v>
      </c>
      <c r="M17" s="3">
        <v>0</v>
      </c>
      <c r="N17" s="4">
        <f>M17*积分规则2</f>
        <v>0</v>
      </c>
      <c r="O17" s="3">
        <v>30</v>
      </c>
      <c r="P17" s="4">
        <f>O17*积分规则2</f>
        <v>30</v>
      </c>
    </row>
    <row r="18" spans="2:16">
      <c r="B18" s="15" t="s">
        <v>56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56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72" t="s">
        <v>58</v>
      </c>
      <c r="C20" s="73" t="str">
        <f>IFERROR(LOOKUP(D20,档位积分1:档位积分5,第1档:第5档),"无奖励")</f>
        <v>第1档</v>
      </c>
      <c r="D20" s="74">
        <f>SUM(D4:D13)+D15+SUM(D17:D19)</f>
        <v>2475</v>
      </c>
      <c r="E20" s="75" t="str">
        <f>IFERROR(LOOKUP(F20,档位积分1:档位积分5,第1档:第5档),"无奖励")</f>
        <v>第1档</v>
      </c>
      <c r="F20" s="74">
        <f>SUM(F4:F13)+F15+SUM(F17:F19)</f>
        <v>2400</v>
      </c>
      <c r="G20" s="75" t="str">
        <f>IFERROR(LOOKUP(H20,档位积分1:档位积分5,第1档:第5档),"无奖励")</f>
        <v>第1档</v>
      </c>
      <c r="H20" s="74">
        <f>SUM(H4:H13)+H15+SUM(H17:H19)</f>
        <v>2400</v>
      </c>
      <c r="I20" s="75" t="str">
        <f>IFERROR(LOOKUP(J20,档位积分1:档位积分5,第1档:第5档),"无奖励")</f>
        <v>第1档</v>
      </c>
      <c r="J20" s="74">
        <f>SUM(J4:J13)+J15+SUM(J17:J19)</f>
        <v>2400</v>
      </c>
      <c r="K20" s="75" t="str">
        <f>IFERROR(LOOKUP(L20,档位积分1:档位积分5,第1档:第5档),"无奖励")</f>
        <v>第1档</v>
      </c>
      <c r="L20" s="74">
        <f>SUM(L4:L13)+L15+SUM(L17:L19)</f>
        <v>2400</v>
      </c>
      <c r="M20" s="75" t="str">
        <f>IFERROR(LOOKUP(N20,档位积分1:档位积分5,第1档:第5档),"无奖励")</f>
        <v>第1档</v>
      </c>
      <c r="N20" s="74">
        <f>SUM(N4:N13)+N15+SUM(N17:N19)</f>
        <v>2400</v>
      </c>
      <c r="O20" s="75" t="str">
        <f>IFERROR(LOOKUP(P20,档位积分1:档位积分5,第1档:第5档),"无奖励")</f>
        <v>第4档</v>
      </c>
      <c r="P20" s="74">
        <f>SUM(P4:P13)+P15+SUM(P17:P19)</f>
        <v>9117.4003246753255</v>
      </c>
    </row>
    <row r="21" spans="2:16" ht="16.8" thickTop="1" thickBot="1">
      <c r="B21" s="59" t="s">
        <v>61</v>
      </c>
      <c r="C21" s="57" t="str">
        <f>IF(D20&gt;=MAX(档位积分1:档位积分5), "已是最高档",
   IF(D20&lt;MIN(档位积分1:档位积分5), INDEX(第1档:第5档, 1),
      INDEX(第1档:第5档, MATCH(D20, 档位积分1:档位积分5, 1)+1)))</f>
        <v>第2档</v>
      </c>
      <c r="D21" s="81">
        <f>IF(D20&gt;=MAX(档位积分1:档位积分5), "",
   IF(D20&lt;MIN(档位积分1:档位积分5), MIN(档位积分1:档位积分5),
      INDEX(档位积分1:档位积分5, MATCH(D20, 档位积分1:档位积分5, 1)+1)))</f>
        <v>3000</v>
      </c>
      <c r="E21" s="57" t="str">
        <f>IF(F20&gt;=MAX(档位积分1:档位积分5), "已是最高档",
   IF(F20&lt;MIN(档位积分1:档位积分5), INDEX(第1档:第5档, 1),
      INDEX(第1档:第5档, MATCH(F20, 档位积分1:档位积分5, 1)+1)))</f>
        <v>第2档</v>
      </c>
      <c r="F21" s="81">
        <f>IF(F20&gt;=MAX(档位积分1:档位积分5), "",
   IF(F20&lt;MIN(档位积分1:档位积分5), MIN(档位积分1:档位积分5),
      INDEX(档位积分1:档位积分5, MATCH(F20, 档位积分1:档位积分5, 1)+1)))</f>
        <v>3000</v>
      </c>
      <c r="G21" s="57" t="str">
        <f>IF(H20&gt;=MAX(档位积分1:档位积分5), "已是最高档",
   IF(H20&lt;MIN(档位积分1:档位积分5), INDEX(第1档:第5档, 1),
      INDEX(第1档:第5档, MATCH(H20, 档位积分1:档位积分5, 1)+1)))</f>
        <v>第2档</v>
      </c>
      <c r="H21" s="81">
        <f>IF(H20&gt;=MAX(档位积分1:档位积分5), "",
   IF(H20&lt;MIN(档位积分1:档位积分5), MIN(档位积分1:档位积分5),
      INDEX(档位积分1:档位积分5, MATCH(H20, 档位积分1:档位积分5, 1)+1)))</f>
        <v>3000</v>
      </c>
      <c r="I21" s="57" t="str">
        <f>IF(J20&gt;=MAX(档位积分1:档位积分5), "已是最高档",
   IF(J20&lt;MIN(档位积分1:档位积分5), INDEX(第1档:第5档, 1),
      INDEX(第1档:第5档, MATCH(J20, 档位积分1:档位积分5, 1)+1)))</f>
        <v>第2档</v>
      </c>
      <c r="J21" s="81">
        <f>IF(J20&gt;=MAX(档位积分1:档位积分5), "",
   IF(J20&lt;MIN(档位积分1:档位积分5), MIN(档位积分1:档位积分5),
      INDEX(档位积分1:档位积分5, MATCH(J20, 档位积分1:档位积分5, 1)+1)))</f>
        <v>3000</v>
      </c>
      <c r="K21" s="57" t="str">
        <f>IF(L20&gt;=MAX(档位积分1:档位积分5), "已是最高档",
   IF(L20&lt;MIN(档位积分1:档位积分5), INDEX(第1档:第5档, 1),
      INDEX(第1档:第5档, MATCH(L20, 档位积分1:档位积分5, 1)+1)))</f>
        <v>第2档</v>
      </c>
      <c r="L21" s="81">
        <f>IF(L20&gt;=MAX(档位积分1:档位积分5), "",
   IF(L20&lt;MIN(档位积分1:档位积分5), MIN(档位积分1:档位积分5),
      INDEX(档位积分1:档位积分5, MATCH(L20, 档位积分1:档位积分5, 1)+1)))</f>
        <v>3000</v>
      </c>
      <c r="M21" s="57" t="str">
        <f>IF(N20&gt;=MAX(档位积分1:档位积分5), "已是最高档",
   IF(N20&lt;MIN(档位积分1:档位积分5), INDEX(第1档:第5档, 1),
      INDEX(第1档:第5档, MATCH(N20, 档位积分1:档位积分5, 1)+1)))</f>
        <v>第2档</v>
      </c>
      <c r="N21" s="81">
        <f>IF(N20&gt;=MAX(档位积分1:档位积分5), "",
   IF(N20&lt;MIN(档位积分1:档位积分5), MIN(档位积分1:档位积分5),
      INDEX(档位积分1:档位积分5, MATCH(N20, 档位积分1:档位积分5, 1)+1)))</f>
        <v>3000</v>
      </c>
      <c r="O21" s="57" t="str">
        <f>IF(P20&gt;=MAX(档位积分1:档位积分5), "已是最高档",
   IF(P20&lt;MIN(档位积分1:档位积分5), INDEX(第1档:第5档, 1),
      INDEX(第1档:第5档, MATCH(P20, 档位积分1:档位积分5, 1)+1)))</f>
        <v>第5档</v>
      </c>
      <c r="P21" s="81">
        <f>IF(P20&gt;=MAX(档位积分1:档位积分5), "",
   IF(P20&lt;MIN(档位积分1:档位积分5), MIN(档位积分1:档位积分5),
      INDEX(档位积分1:档位积分5, MATCH(P20, 档位积分1:档位积分5, 1)+1)))</f>
        <v>10400</v>
      </c>
    </row>
    <row r="22" spans="2:16" ht="16.2" thickTop="1">
      <c r="B22" s="71" t="str">
        <f>"总"&amp;抽奖道具</f>
        <v>总奇幻扭蛋币</v>
      </c>
      <c r="C22" s="57">
        <f>SUM(C4:C12)</f>
        <v>99</v>
      </c>
      <c r="D22" s="58">
        <f>C22*积分规则3</f>
        <v>913.13571428571436</v>
      </c>
      <c r="E22" s="57">
        <f>C22+SUM(E4:E12)</f>
        <v>195</v>
      </c>
      <c r="F22" s="58">
        <v>0</v>
      </c>
      <c r="G22" s="57">
        <f>E22+SUM(G4:G12)</f>
        <v>291</v>
      </c>
      <c r="H22" s="58">
        <v>0</v>
      </c>
      <c r="I22" s="57">
        <f>G22+SUM(I4:I12)</f>
        <v>387</v>
      </c>
      <c r="J22" s="58">
        <v>0</v>
      </c>
      <c r="K22" s="57">
        <f>I22+SUM(K4:K12)</f>
        <v>483</v>
      </c>
      <c r="L22" s="58">
        <v>0</v>
      </c>
      <c r="M22" s="57">
        <f>K22+SUM(M4:M12)</f>
        <v>579</v>
      </c>
      <c r="N22" s="58">
        <v>0</v>
      </c>
      <c r="O22" s="57">
        <f>M22+SUM(O4:O12)</f>
        <v>675</v>
      </c>
      <c r="P22" s="58">
        <v>0</v>
      </c>
    </row>
    <row r="23" spans="2:16" ht="16.2" thickBot="1">
      <c r="B23" s="56" t="s">
        <v>57</v>
      </c>
      <c r="C23" s="5">
        <f>IFERROR(LOOKUP(D20,档位积分1:档位积分5,档位奖励1:档位奖励5),0)</f>
        <v>0</v>
      </c>
      <c r="D23" s="13">
        <f>C23*随机箱积分</f>
        <v>0</v>
      </c>
      <c r="E23" s="5">
        <f>IFERROR(LOOKUP(F20,档位积分1:档位积分5,档位奖励1:档位奖励5),0)+C23</f>
        <v>0</v>
      </c>
      <c r="F23" s="13">
        <f>E23*随机箱积分</f>
        <v>0</v>
      </c>
      <c r="G23" s="5">
        <f>IFERROR(LOOKUP(H20,档位积分1:档位积分5,档位奖励1:档位奖励5),0)+E23</f>
        <v>0</v>
      </c>
      <c r="H23" s="13">
        <f>G23*随机箱积分</f>
        <v>0</v>
      </c>
      <c r="I23" s="5">
        <f>IFERROR(LOOKUP(J20,档位积分1:档位积分5,档位奖励1:档位奖励5),0)+G23</f>
        <v>0</v>
      </c>
      <c r="J23" s="13">
        <f>I23*随机箱积分</f>
        <v>0</v>
      </c>
      <c r="K23" s="5">
        <f>IFERROR(LOOKUP(L20,档位积分1:档位积分5,档位奖励1:档位奖励5),0)+I23</f>
        <v>0</v>
      </c>
      <c r="L23" s="13">
        <f>K23*随机箱积分</f>
        <v>0</v>
      </c>
      <c r="M23" s="5">
        <f>IFERROR(LOOKUP(N20,档位积分1:档位积分5,档位奖励1:档位奖励5),0)+K23</f>
        <v>0</v>
      </c>
      <c r="N23" s="13">
        <f>M23*随机箱积分</f>
        <v>0</v>
      </c>
      <c r="O23" s="5">
        <f>IFERROR(LOOKUP(P20,档位积分1:档位积分5,档位奖励1:档位奖励5),0)+M23</f>
        <v>45</v>
      </c>
      <c r="P23" s="13">
        <f>O23*随机箱积分</f>
        <v>461.47499999999997</v>
      </c>
    </row>
    <row r="24" spans="2:16" ht="16.2" thickTop="1">
      <c r="B24" s="59" t="str">
        <f>普通兑换道具</f>
        <v>见习魔法帽</v>
      </c>
      <c r="C24" s="76">
        <f>C13*普通兑换道具抽奖期望</f>
        <v>0</v>
      </c>
      <c r="D24" s="58"/>
      <c r="E24" s="76">
        <f>E13*普通兑换道具抽奖期望+C24</f>
        <v>0</v>
      </c>
      <c r="F24" s="77"/>
      <c r="G24" s="76">
        <f>G13*普通兑换道具抽奖期望+E24</f>
        <v>0</v>
      </c>
      <c r="H24" s="77"/>
      <c r="I24" s="76">
        <f>I13*普通兑换道具抽奖期望+G24</f>
        <v>0</v>
      </c>
      <c r="J24" s="77"/>
      <c r="K24" s="76">
        <f>K13*普通兑换道具抽奖期望+I24</f>
        <v>0</v>
      </c>
      <c r="L24" s="77"/>
      <c r="M24" s="76">
        <f>M13*普通兑换道具抽奖期望+K24</f>
        <v>0</v>
      </c>
      <c r="N24" s="77"/>
      <c r="O24" s="76">
        <f>O13*普通兑换道具抽奖期望+M24-O17*16</f>
        <v>18945.974025974025</v>
      </c>
      <c r="P24" s="58"/>
    </row>
    <row r="25" spans="2:16" ht="16.2" thickBot="1">
      <c r="B25" s="60" t="str">
        <f>高级兑换道具</f>
        <v>大师魔法帽</v>
      </c>
      <c r="C25" s="78">
        <f>C13*高级兑换道具抽奖期望+C15*随机箱高级道具期望</f>
        <v>0</v>
      </c>
      <c r="D25" s="13"/>
      <c r="E25" s="78">
        <f>E13*高级兑换道具抽奖期望+E15*随机箱高级道具期望+C25</f>
        <v>0</v>
      </c>
      <c r="F25" s="79"/>
      <c r="G25" s="78">
        <f>G13*高级兑换道具抽奖期望+G15*随机箱高级道具期望+E25</f>
        <v>0</v>
      </c>
      <c r="H25" s="79"/>
      <c r="I25" s="78">
        <f>I13*高级兑换道具抽奖期望+I15*随机箱高级道具期望+G25</f>
        <v>0</v>
      </c>
      <c r="J25" s="79"/>
      <c r="K25" s="78">
        <f>K13*高级兑换道具抽奖期望+K15*随机箱高级道具期望+I25</f>
        <v>0</v>
      </c>
      <c r="L25" s="79"/>
      <c r="M25" s="78">
        <f>M13*高级兑换道具抽奖期望+M15*随机箱高级道具期望+K25</f>
        <v>0</v>
      </c>
      <c r="N25" s="79"/>
      <c r="O25" s="78">
        <f>O13*高级兑换道具抽奖期望+O15*随机箱高级道具期望+M25+O17</f>
        <v>1092.4003246753248</v>
      </c>
      <c r="P25" s="13"/>
    </row>
    <row r="26" spans="2:16" ht="16.2" thickTop="1">
      <c r="B26" s="181" t="s">
        <v>48</v>
      </c>
      <c r="C26" s="20">
        <v>0</v>
      </c>
      <c r="D26" s="21">
        <v>0</v>
      </c>
      <c r="E26" s="20">
        <v>0</v>
      </c>
      <c r="F26" s="21">
        <v>0</v>
      </c>
      <c r="G26" s="20">
        <v>0</v>
      </c>
      <c r="H26" s="21">
        <v>0</v>
      </c>
      <c r="I26" s="20">
        <v>0</v>
      </c>
      <c r="J26" s="21">
        <v>0</v>
      </c>
      <c r="K26" s="20">
        <v>0</v>
      </c>
      <c r="L26" s="21">
        <v>0</v>
      </c>
      <c r="M26" s="20">
        <v>0</v>
      </c>
      <c r="N26" s="21">
        <v>0</v>
      </c>
      <c r="O26" s="20">
        <v>0</v>
      </c>
      <c r="P26" s="21">
        <v>0</v>
      </c>
    </row>
    <row r="27" spans="2:16">
      <c r="B27" s="182"/>
      <c r="C27" s="66">
        <v>0</v>
      </c>
      <c r="D27" s="26">
        <v>0</v>
      </c>
      <c r="E27" s="66">
        <v>0</v>
      </c>
      <c r="F27" s="26">
        <v>0</v>
      </c>
      <c r="G27" s="66">
        <v>0</v>
      </c>
      <c r="H27" s="26">
        <v>0</v>
      </c>
      <c r="I27" s="66">
        <v>0</v>
      </c>
      <c r="J27" s="26">
        <v>0</v>
      </c>
      <c r="K27" s="66">
        <v>0</v>
      </c>
      <c r="L27" s="26">
        <v>0</v>
      </c>
      <c r="M27" s="66">
        <v>0</v>
      </c>
      <c r="N27" s="26">
        <v>0</v>
      </c>
      <c r="O27" s="66">
        <v>0</v>
      </c>
      <c r="P27" s="26">
        <v>0</v>
      </c>
    </row>
    <row r="28" spans="2:16" ht="16.2" thickBot="1">
      <c r="B28" s="183"/>
      <c r="C28" s="67"/>
      <c r="D28" s="68"/>
      <c r="E28" s="67"/>
      <c r="F28" s="68"/>
      <c r="G28" s="67"/>
      <c r="H28" s="68"/>
      <c r="I28" s="67"/>
      <c r="J28" s="68"/>
      <c r="K28" s="67"/>
      <c r="L28" s="68"/>
      <c r="M28" s="67"/>
      <c r="N28" s="68"/>
      <c r="O28" s="67"/>
      <c r="P28" s="68"/>
    </row>
    <row r="29" spans="2:16" ht="16.2" thickTop="1">
      <c r="B29" s="182" t="s">
        <v>49</v>
      </c>
      <c r="C29" s="20">
        <f>IFERROR(LOOKUP(C26,价格6:价格648,翡翠100:翡翠10000),0)</f>
        <v>0</v>
      </c>
      <c r="D29" s="21">
        <f>IFERROR(LOOKUP(D26,价格6:价格648,翡翠100:翡翠10000),0)</f>
        <v>0</v>
      </c>
      <c r="E29" s="20">
        <f>IFERROR(LOOKUP(E26,价格6:价格648,翡翠100:翡翠10000),0)</f>
        <v>0</v>
      </c>
      <c r="F29" s="21">
        <f>IFERROR(LOOKUP(F26,价格6:价格648,翡翠100:翡翠10000),0)</f>
        <v>0</v>
      </c>
      <c r="G29" s="20">
        <f>IFERROR(LOOKUP(G26,价格6:价格648,翡翠100:翡翠10000),0)</f>
        <v>0</v>
      </c>
      <c r="H29" s="21">
        <f>IFERROR(LOOKUP(H26,价格6:价格648,翡翠100:翡翠10000),0)</f>
        <v>0</v>
      </c>
      <c r="I29" s="20">
        <f>IFERROR(LOOKUP(I26,价格6:价格648,翡翠100:翡翠10000),0)</f>
        <v>0</v>
      </c>
      <c r="J29" s="21">
        <f>IFERROR(LOOKUP(J26,价格6:价格648,翡翠100:翡翠10000),0)</f>
        <v>0</v>
      </c>
      <c r="K29" s="20">
        <f>IFERROR(LOOKUP(K26,价格6:价格648,翡翠100:翡翠10000),0)</f>
        <v>0</v>
      </c>
      <c r="L29" s="21">
        <f>IFERROR(LOOKUP(L26,价格6:价格648,翡翠100:翡翠10000),0)</f>
        <v>0</v>
      </c>
      <c r="M29" s="20">
        <f>IFERROR(LOOKUP(M26,价格6:价格648,翡翠100:翡翠10000),0)</f>
        <v>0</v>
      </c>
      <c r="N29" s="21">
        <f>IFERROR(LOOKUP(N26,价格6:价格648,翡翠100:翡翠10000),0)</f>
        <v>0</v>
      </c>
      <c r="O29" s="20">
        <f>IFERROR(LOOKUP(O26,价格6:价格648,翡翠100:翡翠10000),0)</f>
        <v>0</v>
      </c>
      <c r="P29" s="21">
        <f>IFERROR(LOOKUP(P26,价格6:价格648,翡翠100:翡翠10000),0)</f>
        <v>0</v>
      </c>
    </row>
    <row r="30" spans="2:16">
      <c r="B30" s="182"/>
      <c r="C30" s="66">
        <f>IFERROR(LOOKUP(C27,价格6:价格648,翡翠100:翡翠10000),0)</f>
        <v>0</v>
      </c>
      <c r="D30" s="26">
        <f>IFERROR(LOOKUP(D27,价格6:价格648,翡翠100:翡翠10000),0)</f>
        <v>0</v>
      </c>
      <c r="E30" s="66">
        <f>IFERROR(LOOKUP(E27,价格6:价格648,翡翠100:翡翠10000),0)</f>
        <v>0</v>
      </c>
      <c r="F30" s="26">
        <f>IFERROR(LOOKUP(F27,价格6:价格648,翡翠100:翡翠10000),0)</f>
        <v>0</v>
      </c>
      <c r="G30" s="66">
        <f>IFERROR(LOOKUP(G27,价格6:价格648,翡翠100:翡翠10000),0)</f>
        <v>0</v>
      </c>
      <c r="H30" s="26">
        <f>IFERROR(LOOKUP(H27,价格6:价格648,翡翠100:翡翠10000),0)</f>
        <v>0</v>
      </c>
      <c r="I30" s="66">
        <f>IFERROR(LOOKUP(I27,价格6:价格648,翡翠100:翡翠10000),0)</f>
        <v>0</v>
      </c>
      <c r="J30" s="26">
        <f>IFERROR(LOOKUP(J27,价格6:价格648,翡翠100:翡翠10000),0)</f>
        <v>0</v>
      </c>
      <c r="K30" s="66">
        <f>IFERROR(LOOKUP(K27,价格6:价格648,翡翠100:翡翠10000),0)</f>
        <v>0</v>
      </c>
      <c r="L30" s="26">
        <f>IFERROR(LOOKUP(L27,价格6:价格648,翡翠100:翡翠10000),0)</f>
        <v>0</v>
      </c>
      <c r="M30" s="66">
        <f>IFERROR(LOOKUP(M27,价格6:价格648,翡翠100:翡翠10000),0)</f>
        <v>0</v>
      </c>
      <c r="N30" s="26">
        <f>IFERROR(LOOKUP(N27,价格6:价格648,翡翠100:翡翠10000),0)</f>
        <v>0</v>
      </c>
      <c r="O30" s="66">
        <f>IFERROR(LOOKUP(O27,价格6:价格648,翡翠100:翡翠10000),0)</f>
        <v>0</v>
      </c>
      <c r="P30" s="26">
        <v>0</v>
      </c>
    </row>
    <row r="31" spans="2:16" ht="16.2" thickBot="1">
      <c r="B31" s="183"/>
      <c r="C31" s="67"/>
      <c r="D31" s="68"/>
      <c r="E31" s="67"/>
      <c r="F31" s="68"/>
      <c r="G31" s="67"/>
      <c r="H31" s="68"/>
      <c r="I31" s="67"/>
      <c r="J31" s="68"/>
      <c r="K31" s="67"/>
      <c r="L31" s="68"/>
      <c r="M31" s="67"/>
      <c r="N31" s="68"/>
      <c r="O31" s="67"/>
      <c r="P31" s="68"/>
    </row>
    <row r="32" spans="2:16" ht="24.6" customHeight="1" thickTop="1">
      <c r="B32" s="182" t="s">
        <v>46</v>
      </c>
      <c r="C32" s="184" t="str">
        <f>SUM(C6,E6,G6,I6,K6,M6,O6)*钻石购买 &amp;"钻石"</f>
        <v>98000钻石</v>
      </c>
      <c r="D32" s="185"/>
      <c r="E32" s="185"/>
      <c r="F32" s="185"/>
      <c r="G32" s="185"/>
      <c r="H32" s="185"/>
      <c r="I32" s="190" t="str">
        <f>SUM(C26:P28) &amp;"元"</f>
        <v>0元</v>
      </c>
      <c r="J32" s="190"/>
      <c r="K32" s="190"/>
      <c r="L32" s="190"/>
      <c r="M32" s="191" t="str">
        <f>SUM(C29:P31) &amp; "翡翠"</f>
        <v>0翡翠</v>
      </c>
      <c r="N32" s="191"/>
      <c r="O32" s="191"/>
      <c r="P32" s="192"/>
    </row>
    <row r="33" spans="2:19" ht="22.8" thickBot="1">
      <c r="B33" s="183"/>
      <c r="C33" s="187" t="str">
        <f>"最终收益："&amp;ROUNDDOWN(O25,0)&amp;B25&amp;"+"&amp;ROUNDDOWN(O24,0)&amp;B24</f>
        <v>最终收益：1092大师魔法帽+18945见习魔法帽</v>
      </c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9"/>
    </row>
    <row r="34" spans="2:19" ht="16.2" thickTop="1"/>
    <row r="38" spans="2:19" ht="38.4" customHeight="1"/>
    <row r="39" spans="2:19" ht="17.7" customHeight="1">
      <c r="B39" s="27"/>
      <c r="C39" s="27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2:19" ht="17.7" customHeight="1">
      <c r="B40" s="27"/>
      <c r="C40" s="6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50"/>
      <c r="D41" s="51"/>
      <c r="E41" s="51"/>
      <c r="F41" s="51"/>
      <c r="G41" s="51"/>
      <c r="H41" s="51"/>
      <c r="I41" s="51"/>
      <c r="J41" s="51"/>
      <c r="K41" s="10"/>
      <c r="L41" s="10"/>
      <c r="M41" s="10"/>
      <c r="N41" s="10"/>
      <c r="O41" s="10"/>
      <c r="P41" s="10"/>
    </row>
    <row r="42" spans="2:19" ht="17.7" customHeight="1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2:19">
      <c r="F43" s="186"/>
      <c r="G43" s="186"/>
      <c r="H43" s="186"/>
      <c r="I43" s="186"/>
      <c r="K43" s="179"/>
      <c r="L43" s="179"/>
      <c r="M43" s="179"/>
      <c r="N43" s="179"/>
      <c r="P43" s="179"/>
      <c r="Q43" s="179"/>
      <c r="R43" s="179"/>
      <c r="S43" s="179"/>
    </row>
    <row r="44" spans="2:19">
      <c r="K44" s="6"/>
      <c r="L44" s="6"/>
      <c r="M44" s="6"/>
      <c r="N44" s="6"/>
      <c r="P44" s="6"/>
      <c r="R44" s="6"/>
      <c r="S44" s="6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25"/>
      <c r="R47" s="25"/>
      <c r="S47" s="6"/>
    </row>
    <row r="48" spans="2:19">
      <c r="G48" s="28"/>
      <c r="H48" s="28"/>
      <c r="I48" s="28"/>
      <c r="K48" s="6"/>
      <c r="M48" s="6"/>
      <c r="N48" s="6"/>
      <c r="O48" s="6"/>
      <c r="P48" s="6"/>
    </row>
    <row r="49" spans="2:16">
      <c r="F49" s="6"/>
      <c r="G49" s="6"/>
      <c r="H49" s="6"/>
      <c r="K49" s="6"/>
      <c r="M49" s="6"/>
      <c r="N49" s="6"/>
      <c r="O49" s="6"/>
      <c r="P49" s="6"/>
    </row>
    <row r="50" spans="2:16">
      <c r="B50" s="180"/>
      <c r="C50" s="180"/>
      <c r="D50" s="180"/>
      <c r="K50" s="179"/>
      <c r="L50" s="179"/>
      <c r="M50" s="179"/>
      <c r="N50" s="179"/>
    </row>
    <row r="51" spans="2:16">
      <c r="K51" s="6"/>
      <c r="M51" s="6"/>
      <c r="N51" s="6"/>
      <c r="P51" s="25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B54" s="180"/>
      <c r="C54" s="180"/>
      <c r="D54" s="180"/>
      <c r="K54" s="6"/>
      <c r="M54" s="6"/>
      <c r="N54" s="6"/>
      <c r="P54" s="25"/>
    </row>
    <row r="55" spans="2:16"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</sheetData>
  <mergeCells count="20">
    <mergeCell ref="B54:D54"/>
    <mergeCell ref="C2:D2"/>
    <mergeCell ref="E2:F2"/>
    <mergeCell ref="G2:H2"/>
    <mergeCell ref="B26:B28"/>
    <mergeCell ref="B29:B31"/>
    <mergeCell ref="C32:H32"/>
    <mergeCell ref="F43:I43"/>
    <mergeCell ref="B32:B33"/>
    <mergeCell ref="C33:P33"/>
    <mergeCell ref="B50:D50"/>
    <mergeCell ref="I32:L32"/>
    <mergeCell ref="M32:P32"/>
    <mergeCell ref="O2:P2"/>
    <mergeCell ref="I2:J2"/>
    <mergeCell ref="K2:L2"/>
    <mergeCell ref="M2:N2"/>
    <mergeCell ref="P43:S43"/>
    <mergeCell ref="K43:N43"/>
    <mergeCell ref="K50:N50"/>
  </mergeCells>
  <phoneticPr fontId="20" type="noConversion"/>
  <conditionalFormatting sqref="B6:P6">
    <cfRule type="cellIs" dxfId="13" priority="4" operator="greaterThan">
      <formula>0</formula>
    </cfRule>
  </conditionalFormatting>
  <conditionalFormatting sqref="B10:P10">
    <cfRule type="cellIs" dxfId="12" priority="1" operator="greaterThan">
      <formula>0</formula>
    </cfRule>
  </conditionalFormatting>
  <conditionalFormatting sqref="B11:P12">
    <cfRule type="cellIs" dxfId="11" priority="3" operator="greaterThan">
      <formula>0</formula>
    </cfRule>
  </conditionalFormatting>
  <conditionalFormatting sqref="C7:P7">
    <cfRule type="cellIs" dxfId="10" priority="2" operator="greaterThan">
      <formula>0</formula>
    </cfRule>
  </conditionalFormatting>
  <conditionalFormatting sqref="C13:P13">
    <cfRule type="cellIs" dxfId="9" priority="9" operator="greaterThan">
      <formula>0</formula>
    </cfRule>
  </conditionalFormatting>
  <conditionalFormatting sqref="C15:P15">
    <cfRule type="cellIs" dxfId="8" priority="6" operator="greaterThan">
      <formula>0</formula>
    </cfRule>
  </conditionalFormatting>
  <conditionalFormatting sqref="C17:P17">
    <cfRule type="cellIs" dxfId="7" priority="8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U30"/>
  <sheetViews>
    <sheetView workbookViewId="0">
      <selection activeCell="B18" sqref="B18:I18"/>
    </sheetView>
  </sheetViews>
  <sheetFormatPr defaultRowHeight="15.6"/>
  <cols>
    <col min="1" max="1" width="4.44140625" style="34" customWidth="1"/>
    <col min="2" max="2" width="8.88671875" style="34" customWidth="1"/>
    <col min="3" max="3" width="53.109375" style="34" customWidth="1"/>
    <col min="4" max="4" width="9.109375" style="34" bestFit="1" customWidth="1"/>
    <col min="5" max="7" width="11.109375" style="34" bestFit="1" customWidth="1"/>
    <col min="8" max="9" width="15.77734375" style="34" customWidth="1"/>
    <col min="10" max="10" width="8.88671875" style="34"/>
    <col min="11" max="11" width="17.44140625" style="34" customWidth="1"/>
    <col min="12" max="12" width="16.77734375" style="34" customWidth="1"/>
    <col min="13" max="13" width="14.109375" style="34" customWidth="1"/>
    <col min="14" max="14" width="8.88671875" style="34"/>
    <col min="15" max="15" width="17.44140625" style="34" customWidth="1"/>
    <col min="16" max="16384" width="8.88671875" style="34"/>
  </cols>
  <sheetData>
    <row r="1" spans="1:21" ht="16.2" thickBot="1"/>
    <row r="2" spans="1:21" ht="24" customHeight="1" thickTop="1" thickBot="1">
      <c r="B2" s="126" t="s">
        <v>158</v>
      </c>
      <c r="C2" s="127"/>
      <c r="D2" s="127"/>
      <c r="E2" s="127"/>
      <c r="F2" s="127"/>
      <c r="G2" s="127"/>
      <c r="H2" s="127"/>
      <c r="I2" s="128"/>
      <c r="R2" s="52"/>
    </row>
    <row r="3" spans="1:21" ht="17.55" customHeight="1" thickTop="1">
      <c r="B3" s="129" t="s">
        <v>45</v>
      </c>
      <c r="C3" s="130"/>
      <c r="D3" s="129" t="str">
        <f>"期望"&amp;普通兑换道具</f>
        <v>期望见习魔法帽</v>
      </c>
      <c r="E3" s="133"/>
      <c r="F3" s="130"/>
      <c r="G3" s="133" t="str">
        <f>"期望"&amp;高级兑换道具</f>
        <v>期望大师魔法帽</v>
      </c>
      <c r="H3" s="133"/>
      <c r="I3" s="130"/>
      <c r="R3" s="52"/>
    </row>
    <row r="4" spans="1:21" ht="12.6" customHeight="1">
      <c r="B4" s="131"/>
      <c r="C4" s="132"/>
      <c r="D4" s="131"/>
      <c r="E4" s="134"/>
      <c r="F4" s="132"/>
      <c r="G4" s="134"/>
      <c r="H4" s="134"/>
      <c r="I4" s="132"/>
      <c r="R4" s="52"/>
      <c r="T4" s="53"/>
      <c r="U4" s="53"/>
    </row>
    <row r="5" spans="1:21" ht="20.85" customHeight="1" thickBot="1">
      <c r="B5" s="135">
        <v>98000</v>
      </c>
      <c r="C5" s="136"/>
      <c r="D5" s="137">
        <f>魔法庆典9.8w!O24</f>
        <v>18945.974025974025</v>
      </c>
      <c r="E5" s="138"/>
      <c r="F5" s="139"/>
      <c r="G5" s="140">
        <f>魔法庆典9.8w!O25</f>
        <v>1092.4003246753248</v>
      </c>
      <c r="H5" s="140"/>
      <c r="I5" s="141"/>
      <c r="R5" s="52"/>
      <c r="T5" s="53"/>
      <c r="U5" s="53"/>
    </row>
    <row r="6" spans="1:21" ht="17.55" customHeight="1" thickTop="1">
      <c r="B6" s="114" t="s">
        <v>163</v>
      </c>
      <c r="C6" s="115"/>
      <c r="D6" s="115"/>
      <c r="E6" s="115"/>
      <c r="F6" s="115"/>
      <c r="G6" s="115"/>
      <c r="H6" s="115"/>
      <c r="I6" s="116"/>
      <c r="R6" s="52"/>
    </row>
    <row r="7" spans="1:21" ht="17.55" customHeight="1" thickBot="1">
      <c r="B7" s="117"/>
      <c r="C7" s="118"/>
      <c r="D7" s="118"/>
      <c r="E7" s="118"/>
      <c r="F7" s="118"/>
      <c r="G7" s="118"/>
      <c r="H7" s="118"/>
      <c r="I7" s="119"/>
      <c r="R7" s="52"/>
    </row>
    <row r="8" spans="1:21" ht="32.4" customHeight="1" thickTop="1">
      <c r="B8" s="43" t="s">
        <v>35</v>
      </c>
      <c r="C8" s="44" t="s">
        <v>44</v>
      </c>
      <c r="D8" s="44" t="str">
        <f>魔法庆典9.8w!B20</f>
        <v>目标档位</v>
      </c>
      <c r="E8" s="44" t="str">
        <f>魔法庆典9.8w!B13</f>
        <v>使用奇幻扭蛋币</v>
      </c>
      <c r="F8" s="44" t="str">
        <f>魔法庆典9.8w!B14</f>
        <v>剩余奇幻扭蛋币</v>
      </c>
      <c r="G8" s="44" t="str">
        <f>魔法庆典9.8w!B16</f>
        <v>剩余随机箱</v>
      </c>
      <c r="H8" s="44" t="str">
        <f>"期望"&amp;普通兑换道具</f>
        <v>期望见习魔法帽</v>
      </c>
      <c r="I8" s="45" t="str">
        <f>"期望"&amp;高级兑换道具</f>
        <v>期望大师魔法帽</v>
      </c>
      <c r="R8" s="52"/>
    </row>
    <row r="9" spans="1:21" ht="36">
      <c r="B9" s="41" t="s">
        <v>36</v>
      </c>
      <c r="C9" s="37" t="s">
        <v>172</v>
      </c>
      <c r="D9" s="37" t="str">
        <f>魔法庆典9.8w!C20</f>
        <v>第1档</v>
      </c>
      <c r="E9" s="37">
        <f>魔法庆典9.8w!C13</f>
        <v>0</v>
      </c>
      <c r="F9" s="37">
        <f>魔法庆典9.8w!C14</f>
        <v>99</v>
      </c>
      <c r="G9" s="37">
        <f>魔法庆典9.8w!C16</f>
        <v>0</v>
      </c>
      <c r="H9" s="38">
        <f>魔法庆典9.8w!C24</f>
        <v>0</v>
      </c>
      <c r="I9" s="42">
        <f>魔法庆典9.8w!C25</f>
        <v>0</v>
      </c>
      <c r="R9" s="52"/>
    </row>
    <row r="10" spans="1:21" ht="28.2">
      <c r="B10" s="39" t="s">
        <v>37</v>
      </c>
      <c r="C10" s="35" t="s">
        <v>173</v>
      </c>
      <c r="D10" s="35" t="str">
        <f>魔法庆典9.8w!E20</f>
        <v>第1档</v>
      </c>
      <c r="E10" s="35">
        <f>魔法庆典9.8w!E13</f>
        <v>0</v>
      </c>
      <c r="F10" s="35">
        <f>魔法庆典9.8w!E14</f>
        <v>195</v>
      </c>
      <c r="G10" s="35">
        <f>魔法庆典9.8w!E16</f>
        <v>0</v>
      </c>
      <c r="H10" s="36">
        <f>魔法庆典9.8w!E24</f>
        <v>0</v>
      </c>
      <c r="I10" s="40">
        <f>魔法庆典9.8w!E25</f>
        <v>0</v>
      </c>
      <c r="R10" s="52"/>
    </row>
    <row r="11" spans="1:21" ht="28.2">
      <c r="B11" s="39" t="s">
        <v>38</v>
      </c>
      <c r="C11" s="35" t="s">
        <v>173</v>
      </c>
      <c r="D11" s="35" t="str">
        <f>魔法庆典9.8w!G20</f>
        <v>第1档</v>
      </c>
      <c r="E11" s="36">
        <f>魔法庆典9.8w!G13</f>
        <v>0</v>
      </c>
      <c r="F11" s="36">
        <f>魔法庆典9.8w!G14</f>
        <v>291</v>
      </c>
      <c r="G11" s="36">
        <f>魔法庆典9.8w!G16</f>
        <v>0</v>
      </c>
      <c r="H11" s="36">
        <f>魔法庆典9.8w!G24</f>
        <v>0</v>
      </c>
      <c r="I11" s="40">
        <f>魔法庆典9.8w!G25</f>
        <v>0</v>
      </c>
      <c r="R11" s="52"/>
    </row>
    <row r="12" spans="1:21" ht="28.2">
      <c r="B12" s="39" t="s">
        <v>39</v>
      </c>
      <c r="C12" s="35" t="s">
        <v>173</v>
      </c>
      <c r="D12" s="35" t="str">
        <f>魔法庆典9.8w!I20</f>
        <v>第1档</v>
      </c>
      <c r="E12" s="36">
        <f>魔法庆典9.8w!I13</f>
        <v>0</v>
      </c>
      <c r="F12" s="36">
        <f>魔法庆典9.8w!I14</f>
        <v>387</v>
      </c>
      <c r="G12" s="36">
        <f>魔法庆典9.8w!I16</f>
        <v>0</v>
      </c>
      <c r="H12" s="36">
        <f>魔法庆典9.8w!I24</f>
        <v>0</v>
      </c>
      <c r="I12" s="40">
        <f>魔法庆典9.8w!I25</f>
        <v>0</v>
      </c>
      <c r="R12" s="52"/>
    </row>
    <row r="13" spans="1:21" ht="28.2">
      <c r="B13" s="39" t="s">
        <v>40</v>
      </c>
      <c r="C13" s="35" t="s">
        <v>173</v>
      </c>
      <c r="D13" s="35" t="str">
        <f>魔法庆典9.8w!K20</f>
        <v>第1档</v>
      </c>
      <c r="E13" s="35">
        <f>魔法庆典9.8w!K13</f>
        <v>0</v>
      </c>
      <c r="F13" s="35">
        <f>魔法庆典9.8w!K14</f>
        <v>483</v>
      </c>
      <c r="G13" s="35">
        <f>魔法庆典9.8w!K16</f>
        <v>0</v>
      </c>
      <c r="H13" s="36">
        <f>魔法庆典9.8w!K24</f>
        <v>0</v>
      </c>
      <c r="I13" s="40">
        <f>魔法庆典9.8w!K25</f>
        <v>0</v>
      </c>
      <c r="R13" s="52"/>
    </row>
    <row r="14" spans="1:21" ht="28.2">
      <c r="B14" s="39" t="s">
        <v>41</v>
      </c>
      <c r="C14" s="35" t="s">
        <v>173</v>
      </c>
      <c r="D14" s="35" t="str">
        <f>魔法庆典9.8w!M20</f>
        <v>第1档</v>
      </c>
      <c r="E14" s="35">
        <f>魔法庆典9.8w!M13</f>
        <v>0</v>
      </c>
      <c r="F14" s="35">
        <f>魔法庆典9.8w!M14</f>
        <v>579</v>
      </c>
      <c r="G14" s="35">
        <f>魔法庆典9.8w!M16</f>
        <v>0</v>
      </c>
      <c r="H14" s="36">
        <f>魔法庆典9.8w!M24</f>
        <v>0</v>
      </c>
      <c r="I14" s="40">
        <f>魔法庆典9.8w!M25</f>
        <v>0</v>
      </c>
      <c r="R14" s="52"/>
    </row>
    <row r="15" spans="1:21" ht="60.6" thickBot="1">
      <c r="A15" s="34" t="s">
        <v>47</v>
      </c>
      <c r="B15" s="46" t="s">
        <v>42</v>
      </c>
      <c r="C15" s="47" t="s">
        <v>174</v>
      </c>
      <c r="D15" s="48" t="str">
        <f>魔法庆典9.8w!O20</f>
        <v>第4档</v>
      </c>
      <c r="E15" s="47">
        <f>魔法庆典9.8w!O13</f>
        <v>675</v>
      </c>
      <c r="F15" s="47">
        <f>魔法庆典9.8w!O14</f>
        <v>0</v>
      </c>
      <c r="G15" s="47">
        <f>魔法庆典9.8w!O16</f>
        <v>0</v>
      </c>
      <c r="H15" s="48">
        <f>魔法庆典9.8w!O24</f>
        <v>18945.974025974025</v>
      </c>
      <c r="I15" s="49">
        <f>魔法庆典9.8w!O25</f>
        <v>1092.4003246753248</v>
      </c>
      <c r="R15" s="52"/>
    </row>
    <row r="16" spans="1:21" ht="21" customHeight="1" thickTop="1" thickBot="1">
      <c r="B16" s="109"/>
      <c r="C16" s="110"/>
      <c r="D16" s="111"/>
      <c r="E16" s="110"/>
      <c r="F16" s="110"/>
      <c r="G16" s="110"/>
      <c r="H16" s="111"/>
      <c r="I16" s="112"/>
      <c r="R16" s="52"/>
    </row>
    <row r="17" spans="2:18" ht="18.45" customHeight="1" thickTop="1">
      <c r="B17" s="120" t="s">
        <v>43</v>
      </c>
      <c r="C17" s="121"/>
      <c r="D17" s="121"/>
      <c r="E17" s="121"/>
      <c r="F17" s="121"/>
      <c r="G17" s="121"/>
      <c r="H17" s="121"/>
      <c r="I17" s="122"/>
      <c r="R17" s="52"/>
    </row>
    <row r="18" spans="2:18" ht="66" customHeight="1" thickBot="1">
      <c r="B18" s="123" t="s">
        <v>176</v>
      </c>
      <c r="C18" s="124"/>
      <c r="D18" s="124"/>
      <c r="E18" s="124"/>
      <c r="F18" s="124"/>
      <c r="G18" s="124"/>
      <c r="H18" s="124"/>
      <c r="I18" s="125"/>
      <c r="R18" s="52"/>
    </row>
    <row r="19" spans="2:18" ht="34.5" customHeight="1" thickTop="1">
      <c r="B19" s="54" t="s">
        <v>175</v>
      </c>
      <c r="C19" s="54"/>
      <c r="D19" s="54"/>
      <c r="E19" s="54"/>
      <c r="F19" s="54"/>
      <c r="G19" s="54"/>
      <c r="H19" s="54"/>
      <c r="I19" s="54"/>
      <c r="R19" s="52"/>
    </row>
    <row r="20" spans="2:18" ht="12.9" customHeight="1">
      <c r="B20" s="54"/>
      <c r="C20" s="54"/>
      <c r="D20" s="54"/>
      <c r="E20" s="54"/>
      <c r="F20" s="54"/>
      <c r="G20" s="54"/>
      <c r="H20" s="54"/>
      <c r="I20" s="54"/>
      <c r="R20" s="52"/>
    </row>
    <row r="21" spans="2:18" ht="15.6" customHeight="1">
      <c r="R21" s="52"/>
    </row>
    <row r="22" spans="2:18" ht="16.2" customHeight="1">
      <c r="B22" s="55"/>
      <c r="C22" s="55"/>
      <c r="D22" s="55"/>
      <c r="E22" s="55"/>
      <c r="F22" s="55"/>
      <c r="G22" s="55"/>
      <c r="H22" s="55"/>
      <c r="I22" s="55"/>
      <c r="R22" s="52"/>
    </row>
    <row r="23" spans="2:18" ht="15.3" customHeight="1">
      <c r="B23" s="55"/>
      <c r="C23" s="55"/>
      <c r="D23" s="55"/>
      <c r="E23" s="55"/>
      <c r="F23" s="55"/>
      <c r="G23" s="55"/>
      <c r="H23" s="55"/>
      <c r="I23" s="55"/>
      <c r="R23" s="52"/>
    </row>
    <row r="24" spans="2:18" ht="22.95" customHeight="1">
      <c r="B24" s="55"/>
      <c r="C24" s="55"/>
      <c r="D24" s="55"/>
      <c r="E24" s="55"/>
      <c r="F24" s="55"/>
      <c r="G24" s="55"/>
      <c r="H24" s="55"/>
      <c r="I24" s="55"/>
      <c r="R24" s="52"/>
    </row>
    <row r="25" spans="2:18" ht="22.95" customHeight="1">
      <c r="N25" s="52"/>
      <c r="O25" s="52"/>
      <c r="P25" s="52"/>
      <c r="Q25" s="52"/>
      <c r="R25" s="52"/>
    </row>
    <row r="26" spans="2:18" ht="22.95" customHeight="1">
      <c r="N26" s="52"/>
      <c r="O26" s="52"/>
      <c r="P26" s="52"/>
      <c r="Q26" s="52"/>
      <c r="R26" s="52"/>
    </row>
    <row r="27" spans="2:18" ht="15.6" customHeight="1">
      <c r="N27" s="52"/>
      <c r="O27" s="52"/>
      <c r="P27" s="52"/>
      <c r="Q27" s="52"/>
      <c r="R27" s="52"/>
    </row>
    <row r="28" spans="2:18" ht="20.55" customHeight="1">
      <c r="N28" s="52"/>
      <c r="O28" s="52"/>
      <c r="P28" s="52"/>
      <c r="Q28" s="52"/>
      <c r="R28" s="52"/>
    </row>
    <row r="29" spans="2:18" ht="15.6" customHeight="1">
      <c r="N29" s="52"/>
      <c r="O29" s="52"/>
      <c r="P29" s="52"/>
      <c r="Q29" s="52"/>
      <c r="R29" s="52"/>
    </row>
    <row r="30" spans="2:18" ht="17.850000000000001" customHeight="1"/>
  </sheetData>
  <mergeCells count="10">
    <mergeCell ref="B17:I17"/>
    <mergeCell ref="B18:I18"/>
    <mergeCell ref="B6:I7"/>
    <mergeCell ref="B2:I2"/>
    <mergeCell ref="B5:C5"/>
    <mergeCell ref="B3:C4"/>
    <mergeCell ref="G3:I4"/>
    <mergeCell ref="G5:I5"/>
    <mergeCell ref="D3:F4"/>
    <mergeCell ref="D5:F5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E4E7-4DC7-4985-9A11-AAB1483AECCE}">
  <dimension ref="B1:S74"/>
  <sheetViews>
    <sheetView topLeftCell="A7" workbookViewId="0">
      <selection activeCell="M6" sqref="M6"/>
    </sheetView>
  </sheetViews>
  <sheetFormatPr defaultRowHeight="15.6"/>
  <cols>
    <col min="1" max="1" width="3.77734375" style="1" customWidth="1"/>
    <col min="2" max="2" width="16.10937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77" t="s">
        <v>25</v>
      </c>
      <c r="D2" s="178"/>
      <c r="E2" s="177" t="s">
        <v>26</v>
      </c>
      <c r="F2" s="178"/>
      <c r="G2" s="177" t="s">
        <v>27</v>
      </c>
      <c r="H2" s="178"/>
      <c r="I2" s="177" t="s">
        <v>28</v>
      </c>
      <c r="J2" s="178"/>
      <c r="K2" s="177" t="s">
        <v>29</v>
      </c>
      <c r="L2" s="178"/>
      <c r="M2" s="177" t="s">
        <v>30</v>
      </c>
      <c r="N2" s="178"/>
      <c r="O2" s="177" t="s">
        <v>31</v>
      </c>
      <c r="P2" s="178"/>
    </row>
    <row r="3" spans="2:16" ht="16.2" thickBot="1">
      <c r="B3" s="15"/>
      <c r="C3" s="3" t="str">
        <f>抽奖道具</f>
        <v>奇幻扭蛋币</v>
      </c>
      <c r="D3" s="4" t="s">
        <v>6</v>
      </c>
      <c r="E3" s="3" t="str">
        <f>抽奖道具</f>
        <v>奇幻扭蛋币</v>
      </c>
      <c r="F3" s="4" t="s">
        <v>6</v>
      </c>
      <c r="G3" s="3" t="str">
        <f>抽奖道具</f>
        <v>奇幻扭蛋币</v>
      </c>
      <c r="H3" s="4" t="s">
        <v>6</v>
      </c>
      <c r="I3" s="3" t="str">
        <f>抽奖道具</f>
        <v>奇幻扭蛋币</v>
      </c>
      <c r="J3" s="4" t="s">
        <v>6</v>
      </c>
      <c r="K3" s="3" t="str">
        <f>抽奖道具</f>
        <v>奇幻扭蛋币</v>
      </c>
      <c r="L3" s="4" t="s">
        <v>6</v>
      </c>
      <c r="M3" s="3" t="str">
        <f>抽奖道具</f>
        <v>奇幻扭蛋币</v>
      </c>
      <c r="N3" s="4" t="s">
        <v>6</v>
      </c>
      <c r="O3" s="3" t="str">
        <f>抽奖道具</f>
        <v>奇幻扭蛋币</v>
      </c>
      <c r="P3" s="4" t="s">
        <v>6</v>
      </c>
    </row>
    <row r="4" spans="2:16" ht="16.2" thickTop="1">
      <c r="B4" s="59" t="s">
        <v>55</v>
      </c>
      <c r="C4" s="3">
        <v>3</v>
      </c>
      <c r="D4" s="4">
        <f t="shared" ref="D4:P12" si="0">C4*积分规则1</f>
        <v>75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26</v>
      </c>
      <c r="D5" s="4">
        <f t="shared" si="0"/>
        <v>650</v>
      </c>
      <c r="E5" s="3">
        <v>26</v>
      </c>
      <c r="F5" s="4">
        <f t="shared" si="1"/>
        <v>650</v>
      </c>
      <c r="G5" s="3">
        <v>26</v>
      </c>
      <c r="H5" s="4">
        <f t="shared" si="2"/>
        <v>650</v>
      </c>
      <c r="I5" s="3">
        <v>26</v>
      </c>
      <c r="J5" s="4">
        <f t="shared" si="3"/>
        <v>650</v>
      </c>
      <c r="K5" s="3">
        <v>26</v>
      </c>
      <c r="L5" s="4">
        <f t="shared" si="4"/>
        <v>650</v>
      </c>
      <c r="M5" s="3">
        <v>26</v>
      </c>
      <c r="N5" s="4">
        <f t="shared" si="5"/>
        <v>650</v>
      </c>
      <c r="O5" s="3">
        <v>26</v>
      </c>
      <c r="P5" s="4">
        <f t="shared" si="6"/>
        <v>650</v>
      </c>
    </row>
    <row r="6" spans="2:16">
      <c r="B6" s="16" t="s">
        <v>17</v>
      </c>
      <c r="C6" s="3">
        <v>70</v>
      </c>
      <c r="D6" s="4">
        <f t="shared" si="0"/>
        <v>1750</v>
      </c>
      <c r="E6" s="3">
        <v>70</v>
      </c>
      <c r="F6" s="4">
        <f t="shared" si="1"/>
        <v>1750</v>
      </c>
      <c r="G6" s="3">
        <v>42</v>
      </c>
      <c r="H6" s="4">
        <f t="shared" si="2"/>
        <v>1050</v>
      </c>
      <c r="I6" s="3">
        <v>6</v>
      </c>
      <c r="J6" s="4">
        <f t="shared" si="3"/>
        <v>150</v>
      </c>
      <c r="K6" s="3">
        <v>6</v>
      </c>
      <c r="L6" s="4">
        <f t="shared" si="4"/>
        <v>150</v>
      </c>
      <c r="M6" s="3">
        <v>6</v>
      </c>
      <c r="N6" s="4">
        <f t="shared" si="5"/>
        <v>150</v>
      </c>
      <c r="O6" s="3">
        <v>0</v>
      </c>
      <c r="P6" s="4">
        <f t="shared" si="6"/>
        <v>0</v>
      </c>
    </row>
    <row r="7" spans="2:16">
      <c r="B7" s="82" t="s">
        <v>51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/>
      <c r="J7" s="4">
        <f t="shared" si="3"/>
        <v>0</v>
      </c>
      <c r="K7" s="3">
        <v>0</v>
      </c>
      <c r="L7" s="4">
        <f t="shared" si="4"/>
        <v>0</v>
      </c>
      <c r="M7" s="3">
        <v>0</v>
      </c>
      <c r="N7" s="4">
        <f t="shared" si="5"/>
        <v>0</v>
      </c>
      <c r="O7" s="3">
        <v>0</v>
      </c>
      <c r="P7" s="4">
        <f t="shared" si="6"/>
        <v>0</v>
      </c>
    </row>
    <row r="8" spans="2:16">
      <c r="B8" s="15" t="s">
        <v>52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62</v>
      </c>
      <c r="C9" s="3">
        <v>0</v>
      </c>
      <c r="D9" s="4">
        <f t="shared" si="0"/>
        <v>0</v>
      </c>
      <c r="E9" s="3">
        <v>0</v>
      </c>
      <c r="F9" s="4">
        <f t="shared" si="0"/>
        <v>0</v>
      </c>
      <c r="G9" s="3">
        <v>0</v>
      </c>
      <c r="H9" s="4">
        <f t="shared" si="0"/>
        <v>0</v>
      </c>
      <c r="I9" s="3">
        <v>0</v>
      </c>
      <c r="J9" s="4">
        <f t="shared" si="0"/>
        <v>0</v>
      </c>
      <c r="K9" s="3">
        <v>0</v>
      </c>
      <c r="L9" s="4">
        <f t="shared" si="0"/>
        <v>0</v>
      </c>
      <c r="M9" s="3">
        <v>0</v>
      </c>
      <c r="N9" s="4">
        <f t="shared" si="0"/>
        <v>0</v>
      </c>
      <c r="O9" s="3">
        <v>0</v>
      </c>
      <c r="P9" s="4">
        <f t="shared" si="0"/>
        <v>0</v>
      </c>
    </row>
    <row r="10" spans="2:16" ht="16.2" thickBot="1">
      <c r="B10" s="60" t="s">
        <v>50</v>
      </c>
      <c r="C10" s="3">
        <v>0</v>
      </c>
      <c r="D10" s="4">
        <f>C10*积分规则1</f>
        <v>0</v>
      </c>
      <c r="E10" s="3">
        <v>0</v>
      </c>
      <c r="F10" s="4">
        <f>E10*积分规则1</f>
        <v>0</v>
      </c>
      <c r="G10" s="3">
        <v>0</v>
      </c>
      <c r="H10" s="4">
        <f>G10*积分规则1</f>
        <v>0</v>
      </c>
      <c r="I10" s="3">
        <v>0</v>
      </c>
      <c r="J10" s="4">
        <f>I10*积分规则1</f>
        <v>0</v>
      </c>
      <c r="K10" s="3">
        <v>0</v>
      </c>
      <c r="L10" s="4">
        <f>K10*积分规则1</f>
        <v>0</v>
      </c>
      <c r="M10" s="3">
        <v>0</v>
      </c>
      <c r="N10" s="4">
        <f>M10*积分规则1</f>
        <v>0</v>
      </c>
      <c r="O10" s="3">
        <v>0</v>
      </c>
      <c r="P10" s="4">
        <f>O10*积分规则1</f>
        <v>0</v>
      </c>
    </row>
    <row r="11" spans="2:16" ht="16.2" thickTop="1">
      <c r="B11" s="61" t="s">
        <v>53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Bot="1">
      <c r="B12" s="62" t="s">
        <v>54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70" t="str">
        <f>"使用"&amp;抽奖道具</f>
        <v>使用奇幻扭蛋币</v>
      </c>
      <c r="C13" s="3">
        <v>0</v>
      </c>
      <c r="D13" s="4">
        <f>C13*积分规则3</f>
        <v>0</v>
      </c>
      <c r="E13" s="3">
        <v>0</v>
      </c>
      <c r="F13" s="4">
        <f>E13*积分规则3</f>
        <v>0</v>
      </c>
      <c r="G13" s="3">
        <v>0</v>
      </c>
      <c r="H13" s="4">
        <f>G13*积分规则3</f>
        <v>0</v>
      </c>
      <c r="I13" s="3">
        <v>0</v>
      </c>
      <c r="J13" s="4">
        <f>I13*积分规则3</f>
        <v>0</v>
      </c>
      <c r="K13" s="3">
        <v>0</v>
      </c>
      <c r="L13" s="4">
        <f>K13*积分规则3</f>
        <v>0</v>
      </c>
      <c r="M13" s="3">
        <v>0</v>
      </c>
      <c r="N13" s="4">
        <f>M13*积分规则3</f>
        <v>0</v>
      </c>
      <c r="O13" s="3">
        <v>385</v>
      </c>
      <c r="P13" s="4">
        <f>O13*积分规则3</f>
        <v>3551.0833333333335</v>
      </c>
    </row>
    <row r="14" spans="2:16" ht="16.2" thickBot="1">
      <c r="B14" s="63" t="str">
        <f>"剩余"&amp;抽奖道具</f>
        <v>剩余奇幻扭蛋币</v>
      </c>
      <c r="C14" s="3">
        <f>C22-C13</f>
        <v>99</v>
      </c>
      <c r="D14" s="4"/>
      <c r="E14" s="3">
        <f>C14+SUM(E4:E12)-E13</f>
        <v>195</v>
      </c>
      <c r="F14" s="4"/>
      <c r="G14" s="3">
        <f>E14+SUM(G4:G12)-G13</f>
        <v>263</v>
      </c>
      <c r="H14" s="4"/>
      <c r="I14" s="3">
        <f>G14+SUM(I4:I12)-I13</f>
        <v>295</v>
      </c>
      <c r="J14" s="4"/>
      <c r="K14" s="3">
        <f>I14+SUM(K4:K12)-K13</f>
        <v>327</v>
      </c>
      <c r="L14" s="4"/>
      <c r="M14" s="3">
        <f>K14+SUM(M4:M12)-M13</f>
        <v>359</v>
      </c>
      <c r="N14" s="4"/>
      <c r="O14" s="3">
        <f>M14+SUM(O4:O12)-O13</f>
        <v>0</v>
      </c>
      <c r="P14" s="4"/>
    </row>
    <row r="15" spans="2:16" ht="16.2" thickTop="1">
      <c r="B15" s="64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0</v>
      </c>
      <c r="L15" s="4">
        <f>K15*随机箱积分</f>
        <v>0</v>
      </c>
      <c r="M15" s="3">
        <v>0</v>
      </c>
      <c r="N15" s="4">
        <f>M15*随机箱积分</f>
        <v>0</v>
      </c>
      <c r="O15" s="3">
        <v>9</v>
      </c>
      <c r="P15" s="69">
        <f>O15*随机箱积分</f>
        <v>92.294999999999987</v>
      </c>
    </row>
    <row r="16" spans="2:16" ht="16.2" thickBot="1">
      <c r="B16" s="63" t="s">
        <v>34</v>
      </c>
      <c r="C16" s="3">
        <f>C23-SUM(C15)</f>
        <v>0</v>
      </c>
      <c r="D16" s="4"/>
      <c r="E16" s="3">
        <f>E23-SUM(C15,E15)</f>
        <v>0</v>
      </c>
      <c r="F16" s="4"/>
      <c r="G16" s="3">
        <f>G23-SUM(C15,E15,G15)</f>
        <v>0</v>
      </c>
      <c r="H16" s="4"/>
      <c r="I16" s="3">
        <f>I23-SUM(C15,E15,G15,I15)</f>
        <v>0</v>
      </c>
      <c r="J16" s="4"/>
      <c r="K16" s="3">
        <f>K23-SUM(C15,E15,G15,I15,K15)</f>
        <v>0</v>
      </c>
      <c r="L16" s="4"/>
      <c r="M16" s="3">
        <f>M23-SUM(C15,E15,G15,I15,K15,M15)</f>
        <v>0</v>
      </c>
      <c r="N16" s="4"/>
      <c r="O16" s="3">
        <f>O23-SUM(C15,E15,G15,I15,K15,M15,O15)</f>
        <v>0</v>
      </c>
      <c r="P16" s="4"/>
    </row>
    <row r="17" spans="2:16" ht="16.2" thickTop="1">
      <c r="B17" s="65" t="str">
        <f>"商店换"&amp;高级兑换道具</f>
        <v>商店换大师魔法帽</v>
      </c>
      <c r="C17" s="3">
        <v>0</v>
      </c>
      <c r="D17" s="4">
        <f>C17*积分规则2</f>
        <v>0</v>
      </c>
      <c r="E17" s="3">
        <v>0</v>
      </c>
      <c r="F17" s="4">
        <f>E17*积分规则2</f>
        <v>0</v>
      </c>
      <c r="G17" s="3">
        <v>0</v>
      </c>
      <c r="H17" s="4">
        <f>G17*积分规则2</f>
        <v>0</v>
      </c>
      <c r="I17" s="3">
        <v>0</v>
      </c>
      <c r="J17" s="4">
        <f>I17*积分规则2</f>
        <v>0</v>
      </c>
      <c r="K17" s="3">
        <v>0</v>
      </c>
      <c r="L17" s="4">
        <f>K17*积分规则2</f>
        <v>0</v>
      </c>
      <c r="M17" s="3">
        <v>0</v>
      </c>
      <c r="N17" s="4">
        <f>M17*积分规则2</f>
        <v>0</v>
      </c>
      <c r="O17" s="3">
        <v>0</v>
      </c>
      <c r="P17" s="4">
        <f>O17*积分规则2</f>
        <v>0</v>
      </c>
    </row>
    <row r="18" spans="2:16">
      <c r="B18" s="15" t="s">
        <v>56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56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72" t="s">
        <v>58</v>
      </c>
      <c r="C20" s="73" t="str">
        <f>IFERROR(LOOKUP(D20,档位积分1:档位积分5,第1档:第5档),"无奖励")</f>
        <v>第1档</v>
      </c>
      <c r="D20" s="74">
        <f>SUM(D4:D13)+D15+SUM(D17:D19)</f>
        <v>2475</v>
      </c>
      <c r="E20" s="75" t="str">
        <f>IFERROR(LOOKUP(F20,档位积分1:档位积分5,第1档:第5档),"无奖励")</f>
        <v>第1档</v>
      </c>
      <c r="F20" s="74">
        <f>SUM(F4:F13)+F15+SUM(F17:F19)</f>
        <v>2400</v>
      </c>
      <c r="G20" s="75" t="str">
        <f>IFERROR(LOOKUP(H20,档位积分1:档位积分5,第1档:第5档),"无奖励")</f>
        <v>第1档</v>
      </c>
      <c r="H20" s="74">
        <f>SUM(H4:H13)+H15+SUM(H17:H19)</f>
        <v>1700</v>
      </c>
      <c r="I20" s="75" t="str">
        <f>IFERROR(LOOKUP(J20,档位积分1:档位积分5,第1档:第5档),"无奖励")</f>
        <v>第1档</v>
      </c>
      <c r="J20" s="74">
        <f>SUM(J4:J13)+J15+SUM(J17:J19)</f>
        <v>800</v>
      </c>
      <c r="K20" s="75" t="str">
        <f>IFERROR(LOOKUP(L20,档位积分1:档位积分5,第1档:第5档),"无奖励")</f>
        <v>第1档</v>
      </c>
      <c r="L20" s="74">
        <f>SUM(L4:L13)+L15+SUM(L17:L19)</f>
        <v>800</v>
      </c>
      <c r="M20" s="75" t="str">
        <f>IFERROR(LOOKUP(N20,档位积分1:档位积分5,第1档:第5档),"无奖励")</f>
        <v>第1档</v>
      </c>
      <c r="N20" s="74">
        <f>SUM(N4:N13)+N15+SUM(N17:N19)</f>
        <v>800</v>
      </c>
      <c r="O20" s="75" t="str">
        <f>IFERROR(LOOKUP(P20,档位积分1:档位积分5,第1档:第5档),"无奖励")</f>
        <v>第3档</v>
      </c>
      <c r="P20" s="74">
        <f>SUM(P4:P13)+P15+SUM(P17:P19)</f>
        <v>4293.378333333334</v>
      </c>
    </row>
    <row r="21" spans="2:16" ht="16.8" thickTop="1" thickBot="1">
      <c r="B21" s="59" t="s">
        <v>61</v>
      </c>
      <c r="C21" s="57" t="str">
        <f>IF(D20&gt;=MAX(档位积分1:档位积分5), "已是最高档",
   IF(D20&lt;MIN(档位积分1:档位积分5), INDEX(第1档:第5档, 1),
      INDEX(第1档:第5档, MATCH(D20, 档位积分1:档位积分5, 1)+1)))</f>
        <v>第2档</v>
      </c>
      <c r="D21" s="81">
        <f>IF(D20&gt;=MAX(档位积分1:档位积分5), "",
   IF(D20&lt;MIN(档位积分1:档位积分5), MIN(档位积分1:档位积分5),
      INDEX(档位积分1:档位积分5, MATCH(D20, 档位积分1:档位积分5, 1)+1)))</f>
        <v>3000</v>
      </c>
      <c r="E21" s="57" t="str">
        <f>IF(F20&gt;=MAX(档位积分1:档位积分5), "已是最高档",
   IF(F20&lt;MIN(档位积分1:档位积分5), INDEX(第1档:第5档, 1),
      INDEX(第1档:第5档, MATCH(F20, 档位积分1:档位积分5, 1)+1)))</f>
        <v>第2档</v>
      </c>
      <c r="F21" s="81">
        <f>IF(F20&gt;=MAX(档位积分1:档位积分5), "",
   IF(F20&lt;MIN(档位积分1:档位积分5), MIN(档位积分1:档位积分5),
      INDEX(档位积分1:档位积分5, MATCH(F20, 档位积分1:档位积分5, 1)+1)))</f>
        <v>3000</v>
      </c>
      <c r="G21" s="57" t="str">
        <f>IF(H20&gt;=MAX(档位积分1:档位积分5), "已是最高档",
   IF(H20&lt;MIN(档位积分1:档位积分5), INDEX(第1档:第5档, 1),
      INDEX(第1档:第5档, MATCH(H20, 档位积分1:档位积分5, 1)+1)))</f>
        <v>第2档</v>
      </c>
      <c r="H21" s="81">
        <f>IF(H20&gt;=MAX(档位积分1:档位积分5), "",
   IF(H20&lt;MIN(档位积分1:档位积分5), MIN(档位积分1:档位积分5),
      INDEX(档位积分1:档位积分5, MATCH(H20, 档位积分1:档位积分5, 1)+1)))</f>
        <v>3000</v>
      </c>
      <c r="I21" s="57" t="str">
        <f>IF(J20&gt;=MAX(档位积分1:档位积分5), "已是最高档",
   IF(J20&lt;MIN(档位积分1:档位积分5), INDEX(第1档:第5档, 1),
      INDEX(第1档:第5档, MATCH(J20, 档位积分1:档位积分5, 1)+1)))</f>
        <v>第2档</v>
      </c>
      <c r="J21" s="81">
        <f>IF(J20&gt;=MAX(档位积分1:档位积分5), "",
   IF(J20&lt;MIN(档位积分1:档位积分5), MIN(档位积分1:档位积分5),
      INDEX(档位积分1:档位积分5, MATCH(J20, 档位积分1:档位积分5, 1)+1)))</f>
        <v>3000</v>
      </c>
      <c r="K21" s="57" t="str">
        <f>IF(L20&gt;=MAX(档位积分1:档位积分5), "已是最高档",
   IF(L20&lt;MIN(档位积分1:档位积分5), INDEX(第1档:第5档, 1),
      INDEX(第1档:第5档, MATCH(L20, 档位积分1:档位积分5, 1)+1)))</f>
        <v>第2档</v>
      </c>
      <c r="L21" s="81">
        <f>IF(L20&gt;=MAX(档位积分1:档位积分5), "",
   IF(L20&lt;MIN(档位积分1:档位积分5), MIN(档位积分1:档位积分5),
      INDEX(档位积分1:档位积分5, MATCH(L20, 档位积分1:档位积分5, 1)+1)))</f>
        <v>3000</v>
      </c>
      <c r="M21" s="57" t="str">
        <f>IF(N20&gt;=MAX(档位积分1:档位积分5), "已是最高档",
   IF(N20&lt;MIN(档位积分1:档位积分5), INDEX(第1档:第5档, 1),
      INDEX(第1档:第5档, MATCH(N20, 档位积分1:档位积分5, 1)+1)))</f>
        <v>第2档</v>
      </c>
      <c r="N21" s="81">
        <f>IF(N20&gt;=MAX(档位积分1:档位积分5), "",
   IF(N20&lt;MIN(档位积分1:档位积分5), MIN(档位积分1:档位积分5),
      INDEX(档位积分1:档位积分5, MATCH(N20, 档位积分1:档位积分5, 1)+1)))</f>
        <v>3000</v>
      </c>
      <c r="O21" s="57" t="str">
        <f>IF(P20&gt;=MAX(档位积分1:档位积分5), "已是最高档",
   IF(P20&lt;MIN(档位积分1:档位积分5), INDEX(第1档:第5档, 1),
      INDEX(第1档:第5档, MATCH(P20, 档位积分1:档位积分5, 1)+1)))</f>
        <v>第4档</v>
      </c>
      <c r="P21" s="81">
        <f>IF(P20&gt;=MAX(档位积分1:档位积分5), "",
   IF(P20&lt;MIN(档位积分1:档位积分5), MIN(档位积分1:档位积分5),
      INDEX(档位积分1:档位积分5, MATCH(P20, 档位积分1:档位积分5, 1)+1)))</f>
        <v>8300</v>
      </c>
    </row>
    <row r="22" spans="2:16" ht="16.2" thickTop="1">
      <c r="B22" s="71" t="str">
        <f>"总"&amp;抽奖道具</f>
        <v>总奇幻扭蛋币</v>
      </c>
      <c r="C22" s="57">
        <f>SUM(C4:C12)</f>
        <v>99</v>
      </c>
      <c r="D22" s="58">
        <f>C22*积分规则3</f>
        <v>913.13571428571436</v>
      </c>
      <c r="E22" s="57">
        <f>C22+SUM(E4:E12)</f>
        <v>195</v>
      </c>
      <c r="F22" s="58">
        <v>0</v>
      </c>
      <c r="G22" s="57">
        <f>E22+SUM(G4:G12)</f>
        <v>263</v>
      </c>
      <c r="H22" s="58">
        <v>0</v>
      </c>
      <c r="I22" s="57">
        <f>G22+SUM(I4:I12)</f>
        <v>295</v>
      </c>
      <c r="J22" s="58">
        <v>0</v>
      </c>
      <c r="K22" s="57">
        <f>I22+SUM(K4:K12)</f>
        <v>327</v>
      </c>
      <c r="L22" s="58">
        <v>0</v>
      </c>
      <c r="M22" s="57">
        <f>K22+SUM(M4:M12)</f>
        <v>359</v>
      </c>
      <c r="N22" s="58">
        <v>0</v>
      </c>
      <c r="O22" s="57">
        <f>M22+SUM(O4:O12)</f>
        <v>385</v>
      </c>
      <c r="P22" s="58">
        <v>0</v>
      </c>
    </row>
    <row r="23" spans="2:16" ht="16.2" thickBot="1">
      <c r="B23" s="56" t="s">
        <v>57</v>
      </c>
      <c r="C23" s="5">
        <f>IFERROR(LOOKUP(D20,档位积分1:档位积分5,档位奖励1:档位奖励5),0)</f>
        <v>0</v>
      </c>
      <c r="D23" s="13">
        <f>C23*随机箱积分</f>
        <v>0</v>
      </c>
      <c r="E23" s="5">
        <f>IFERROR(LOOKUP(F20,档位积分1:档位积分5,档位奖励1:档位奖励5),0)+C23</f>
        <v>0</v>
      </c>
      <c r="F23" s="13">
        <f>E23*随机箱积分</f>
        <v>0</v>
      </c>
      <c r="G23" s="5">
        <f>IFERROR(LOOKUP(H20,档位积分1:档位积分5,档位奖励1:档位奖励5),0)+E23</f>
        <v>0</v>
      </c>
      <c r="H23" s="13">
        <f>G23*随机箱积分</f>
        <v>0</v>
      </c>
      <c r="I23" s="5">
        <f>IFERROR(LOOKUP(J20,档位积分1:档位积分5,档位奖励1:档位奖励5),0)+G23</f>
        <v>0</v>
      </c>
      <c r="J23" s="13">
        <f>I23*随机箱积分</f>
        <v>0</v>
      </c>
      <c r="K23" s="5">
        <f>IFERROR(LOOKUP(L20,档位积分1:档位积分5,档位奖励1:档位奖励5),0)+I23</f>
        <v>0</v>
      </c>
      <c r="L23" s="13">
        <f>K23*随机箱积分</f>
        <v>0</v>
      </c>
      <c r="M23" s="5">
        <f>IFERROR(LOOKUP(N20,档位积分1:档位积分5,档位奖励1:档位奖励5),0)+K23</f>
        <v>0</v>
      </c>
      <c r="N23" s="13">
        <f>M23*随机箱积分</f>
        <v>0</v>
      </c>
      <c r="O23" s="5">
        <f>IFERROR(LOOKUP(P20,档位积分1:档位积分5,档位奖励1:档位奖励5),0)+M23</f>
        <v>9</v>
      </c>
      <c r="P23" s="13">
        <f>O23*随机箱积分</f>
        <v>92.294999999999987</v>
      </c>
    </row>
    <row r="24" spans="2:16" ht="16.2" thickTop="1">
      <c r="B24" s="59" t="str">
        <f>普通兑换道具</f>
        <v>见习魔法帽</v>
      </c>
      <c r="C24" s="76">
        <f>C13*普通兑换道具抽奖期望</f>
        <v>0</v>
      </c>
      <c r="D24" s="58"/>
      <c r="E24" s="76">
        <f>E13*普通兑换道具抽奖期望+C24</f>
        <v>0</v>
      </c>
      <c r="F24" s="77"/>
      <c r="G24" s="76">
        <f>G13*普通兑换道具抽奖期望+E24</f>
        <v>0</v>
      </c>
      <c r="H24" s="77"/>
      <c r="I24" s="76">
        <f>I13*普通兑换道具抽奖期望+G24</f>
        <v>0</v>
      </c>
      <c r="J24" s="77"/>
      <c r="K24" s="76">
        <f>K13*普通兑换道具抽奖期望+I24</f>
        <v>0</v>
      </c>
      <c r="L24" s="77"/>
      <c r="M24" s="76">
        <f>M13*普通兑换道具抽奖期望+K24</f>
        <v>0</v>
      </c>
      <c r="N24" s="77"/>
      <c r="O24" s="76">
        <f>O13*普通兑换道具抽奖期望+M24-O17*16</f>
        <v>11080</v>
      </c>
      <c r="P24" s="58"/>
    </row>
    <row r="25" spans="2:16" ht="16.2" thickBot="1">
      <c r="B25" s="60" t="str">
        <f>高级兑换道具</f>
        <v>大师魔法帽</v>
      </c>
      <c r="C25" s="78">
        <f>C13*高级兑换道具抽奖期望+C15*随机箱高级道具期望</f>
        <v>0</v>
      </c>
      <c r="D25" s="13"/>
      <c r="E25" s="78">
        <f>E13*高级兑换道具抽奖期望+E15*随机箱高级道具期望+C25</f>
        <v>0</v>
      </c>
      <c r="F25" s="79"/>
      <c r="G25" s="78">
        <f>G13*高级兑换道具抽奖期望+G15*随机箱高级道具期望+E25</f>
        <v>0</v>
      </c>
      <c r="H25" s="79"/>
      <c r="I25" s="78">
        <f>I13*高级兑换道具抽奖期望+I15*随机箱高级道具期望+G25</f>
        <v>0</v>
      </c>
      <c r="J25" s="79"/>
      <c r="K25" s="78">
        <f>K13*高级兑换道具抽奖期望+K15*随机箱高级道具期望+I25</f>
        <v>0</v>
      </c>
      <c r="L25" s="79"/>
      <c r="M25" s="78">
        <f>M13*高级兑换道具抽奖期望+M15*随机箱高级道具期望+K25</f>
        <v>0</v>
      </c>
      <c r="N25" s="79"/>
      <c r="O25" s="78">
        <f>O13*高级兑换道具抽奖期望+O15*随机箱高级道具期望+M25+O17</f>
        <v>435.04499999999996</v>
      </c>
      <c r="P25" s="13"/>
    </row>
    <row r="26" spans="2:16" ht="16.2" thickTop="1">
      <c r="B26" s="181" t="s">
        <v>48</v>
      </c>
      <c r="C26" s="20">
        <v>0</v>
      </c>
      <c r="D26" s="21">
        <v>0</v>
      </c>
      <c r="E26" s="20">
        <v>0</v>
      </c>
      <c r="F26" s="21">
        <v>0</v>
      </c>
      <c r="G26" s="20">
        <v>0</v>
      </c>
      <c r="H26" s="21">
        <v>0</v>
      </c>
      <c r="I26" s="20">
        <v>0</v>
      </c>
      <c r="J26" s="21">
        <v>0</v>
      </c>
      <c r="K26" s="20">
        <v>0</v>
      </c>
      <c r="L26" s="21">
        <v>0</v>
      </c>
      <c r="M26" s="20">
        <v>0</v>
      </c>
      <c r="N26" s="21">
        <v>0</v>
      </c>
      <c r="O26" s="20">
        <v>0</v>
      </c>
      <c r="P26" s="21">
        <v>0</v>
      </c>
    </row>
    <row r="27" spans="2:16">
      <c r="B27" s="182"/>
      <c r="C27" s="66">
        <v>0</v>
      </c>
      <c r="D27" s="26">
        <v>0</v>
      </c>
      <c r="E27" s="66">
        <v>0</v>
      </c>
      <c r="F27" s="26">
        <v>0</v>
      </c>
      <c r="G27" s="66">
        <v>0</v>
      </c>
      <c r="H27" s="26">
        <v>0</v>
      </c>
      <c r="I27" s="66">
        <v>0</v>
      </c>
      <c r="J27" s="26">
        <v>0</v>
      </c>
      <c r="K27" s="66">
        <v>0</v>
      </c>
      <c r="L27" s="26">
        <v>0</v>
      </c>
      <c r="M27" s="66">
        <v>0</v>
      </c>
      <c r="N27" s="26">
        <v>0</v>
      </c>
      <c r="O27" s="66">
        <v>0</v>
      </c>
      <c r="P27" s="26">
        <v>0</v>
      </c>
    </row>
    <row r="28" spans="2:16" ht="16.2" thickBot="1">
      <c r="B28" s="183"/>
      <c r="C28" s="67"/>
      <c r="D28" s="68"/>
      <c r="E28" s="67"/>
      <c r="F28" s="68"/>
      <c r="G28" s="67"/>
      <c r="H28" s="68"/>
      <c r="I28" s="67"/>
      <c r="J28" s="68"/>
      <c r="K28" s="67"/>
      <c r="L28" s="68"/>
      <c r="M28" s="67"/>
      <c r="N28" s="68"/>
      <c r="O28" s="67"/>
      <c r="P28" s="68"/>
    </row>
    <row r="29" spans="2:16" ht="16.2" thickTop="1">
      <c r="B29" s="182" t="s">
        <v>49</v>
      </c>
      <c r="C29" s="20">
        <f>IFERROR(LOOKUP(C26,价格6:价格648,翡翠100:翡翠10000),0)</f>
        <v>0</v>
      </c>
      <c r="D29" s="21">
        <f>IFERROR(LOOKUP(D26,价格6:价格648,翡翠100:翡翠10000),0)</f>
        <v>0</v>
      </c>
      <c r="E29" s="20">
        <f>IFERROR(LOOKUP(E26,价格6:价格648,翡翠100:翡翠10000),0)</f>
        <v>0</v>
      </c>
      <c r="F29" s="21">
        <f>IFERROR(LOOKUP(F26,价格6:价格648,翡翠100:翡翠10000),0)</f>
        <v>0</v>
      </c>
      <c r="G29" s="20">
        <f>IFERROR(LOOKUP(G26,价格6:价格648,翡翠100:翡翠10000),0)</f>
        <v>0</v>
      </c>
      <c r="H29" s="21">
        <f>IFERROR(LOOKUP(H26,价格6:价格648,翡翠100:翡翠10000),0)</f>
        <v>0</v>
      </c>
      <c r="I29" s="20">
        <f>IFERROR(LOOKUP(I26,价格6:价格648,翡翠100:翡翠10000),0)</f>
        <v>0</v>
      </c>
      <c r="J29" s="21">
        <f>IFERROR(LOOKUP(J26,价格6:价格648,翡翠100:翡翠10000),0)</f>
        <v>0</v>
      </c>
      <c r="K29" s="20">
        <f>IFERROR(LOOKUP(K26,价格6:价格648,翡翠100:翡翠10000),0)</f>
        <v>0</v>
      </c>
      <c r="L29" s="21">
        <f>IFERROR(LOOKUP(L26,价格6:价格648,翡翠100:翡翠10000),0)</f>
        <v>0</v>
      </c>
      <c r="M29" s="20">
        <f>IFERROR(LOOKUP(M26,价格6:价格648,翡翠100:翡翠10000),0)</f>
        <v>0</v>
      </c>
      <c r="N29" s="21">
        <f>IFERROR(LOOKUP(N26,价格6:价格648,翡翠100:翡翠10000),0)</f>
        <v>0</v>
      </c>
      <c r="O29" s="20">
        <f>IFERROR(LOOKUP(O26,价格6:价格648,翡翠100:翡翠10000),0)</f>
        <v>0</v>
      </c>
      <c r="P29" s="21">
        <f>IFERROR(LOOKUP(P26,价格6:价格648,翡翠100:翡翠10000),0)</f>
        <v>0</v>
      </c>
    </row>
    <row r="30" spans="2:16">
      <c r="B30" s="182"/>
      <c r="C30" s="66">
        <f>IFERROR(LOOKUP(C27,价格6:价格648,翡翠100:翡翠10000),0)</f>
        <v>0</v>
      </c>
      <c r="D30" s="26">
        <f>IFERROR(LOOKUP(D27,价格6:价格648,翡翠100:翡翠10000),0)</f>
        <v>0</v>
      </c>
      <c r="E30" s="66">
        <f>IFERROR(LOOKUP(E27,价格6:价格648,翡翠100:翡翠10000),0)</f>
        <v>0</v>
      </c>
      <c r="F30" s="26">
        <f>IFERROR(LOOKUP(F27,价格6:价格648,翡翠100:翡翠10000),0)</f>
        <v>0</v>
      </c>
      <c r="G30" s="66">
        <f>IFERROR(LOOKUP(G27,价格6:价格648,翡翠100:翡翠10000),0)</f>
        <v>0</v>
      </c>
      <c r="H30" s="26">
        <f>IFERROR(LOOKUP(H27,价格6:价格648,翡翠100:翡翠10000),0)</f>
        <v>0</v>
      </c>
      <c r="I30" s="66">
        <f>IFERROR(LOOKUP(I27,价格6:价格648,翡翠100:翡翠10000),0)</f>
        <v>0</v>
      </c>
      <c r="J30" s="26">
        <f>IFERROR(LOOKUP(J27,价格6:价格648,翡翠100:翡翠10000),0)</f>
        <v>0</v>
      </c>
      <c r="K30" s="66">
        <f>IFERROR(LOOKUP(K27,价格6:价格648,翡翠100:翡翠10000),0)</f>
        <v>0</v>
      </c>
      <c r="L30" s="26">
        <f>IFERROR(LOOKUP(L27,价格6:价格648,翡翠100:翡翠10000),0)</f>
        <v>0</v>
      </c>
      <c r="M30" s="66">
        <f>IFERROR(LOOKUP(M27,价格6:价格648,翡翠100:翡翠10000),0)</f>
        <v>0</v>
      </c>
      <c r="N30" s="26">
        <f>IFERROR(LOOKUP(N27,价格6:价格648,翡翠100:翡翠10000),0)</f>
        <v>0</v>
      </c>
      <c r="O30" s="66">
        <f>IFERROR(LOOKUP(O27,价格6:价格648,翡翠100:翡翠10000),0)</f>
        <v>0</v>
      </c>
      <c r="P30" s="26">
        <v>0</v>
      </c>
    </row>
    <row r="31" spans="2:16" ht="16.2" thickBot="1">
      <c r="B31" s="183"/>
      <c r="C31" s="67"/>
      <c r="D31" s="68"/>
      <c r="E31" s="67"/>
      <c r="F31" s="68"/>
      <c r="G31" s="67"/>
      <c r="H31" s="68"/>
      <c r="I31" s="67"/>
      <c r="J31" s="68"/>
      <c r="K31" s="67"/>
      <c r="L31" s="68"/>
      <c r="M31" s="67"/>
      <c r="N31" s="68"/>
      <c r="O31" s="67"/>
      <c r="P31" s="68"/>
    </row>
    <row r="32" spans="2:16" ht="24.6" customHeight="1" thickTop="1">
      <c r="B32" s="182" t="s">
        <v>46</v>
      </c>
      <c r="C32" s="184" t="str">
        <f>SUM(C6,E6,G6,I6,K6,M6,O6)*钻石购买 &amp;"钻石"</f>
        <v>40000钻石</v>
      </c>
      <c r="D32" s="185"/>
      <c r="E32" s="185"/>
      <c r="F32" s="185"/>
      <c r="G32" s="185"/>
      <c r="H32" s="185"/>
      <c r="I32" s="190" t="str">
        <f>SUM(C26:P28) &amp;"元"</f>
        <v>0元</v>
      </c>
      <c r="J32" s="190"/>
      <c r="K32" s="190"/>
      <c r="L32" s="190"/>
      <c r="M32" s="191" t="str">
        <f>SUM(C29:P31) &amp; "翡翠"</f>
        <v>0翡翠</v>
      </c>
      <c r="N32" s="191"/>
      <c r="O32" s="191"/>
      <c r="P32" s="192"/>
    </row>
    <row r="33" spans="2:19" ht="22.8" thickBot="1">
      <c r="B33" s="183"/>
      <c r="C33" s="187" t="str">
        <f>"最终收益："&amp;ROUNDDOWN(O25,0)&amp;B25&amp;"+"&amp;ROUNDDOWN(O24,0)&amp;B24</f>
        <v>最终收益：435大师魔法帽+11080见习魔法帽</v>
      </c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9"/>
    </row>
    <row r="34" spans="2:19" ht="16.2" thickTop="1"/>
    <row r="38" spans="2:19" ht="38.4" customHeight="1"/>
    <row r="39" spans="2:19" ht="17.7" customHeight="1">
      <c r="B39" s="27"/>
      <c r="C39" s="27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2:19" ht="17.7" customHeight="1">
      <c r="B40" s="27"/>
      <c r="C40" s="6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50"/>
      <c r="D41" s="51"/>
      <c r="E41" s="51"/>
      <c r="F41" s="51"/>
      <c r="G41" s="51"/>
      <c r="H41" s="51"/>
      <c r="I41" s="51"/>
      <c r="J41" s="51"/>
      <c r="K41" s="10"/>
      <c r="L41" s="10"/>
      <c r="M41" s="10"/>
      <c r="N41" s="10"/>
      <c r="O41" s="10"/>
      <c r="P41" s="10"/>
    </row>
    <row r="42" spans="2:19" ht="17.7" customHeight="1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2:19">
      <c r="F43" s="186"/>
      <c r="G43" s="186"/>
      <c r="H43" s="186"/>
      <c r="I43" s="186"/>
      <c r="K43" s="179"/>
      <c r="L43" s="179"/>
      <c r="M43" s="179"/>
      <c r="N43" s="179"/>
      <c r="P43" s="179"/>
      <c r="Q43" s="179"/>
      <c r="R43" s="179"/>
      <c r="S43" s="179"/>
    </row>
    <row r="44" spans="2:19">
      <c r="K44" s="6"/>
      <c r="L44" s="6"/>
      <c r="M44" s="6"/>
      <c r="N44" s="6"/>
      <c r="P44" s="6"/>
      <c r="R44" s="6"/>
      <c r="S44" s="6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25"/>
      <c r="R47" s="25"/>
      <c r="S47" s="6"/>
    </row>
    <row r="48" spans="2:19">
      <c r="G48" s="28"/>
      <c r="H48" s="28"/>
      <c r="I48" s="28"/>
      <c r="K48" s="6"/>
      <c r="M48" s="6"/>
      <c r="N48" s="6"/>
      <c r="O48" s="6"/>
      <c r="P48" s="6"/>
    </row>
    <row r="49" spans="2:16">
      <c r="F49" s="6"/>
      <c r="G49" s="6"/>
      <c r="H49" s="6"/>
      <c r="K49" s="6"/>
      <c r="M49" s="6"/>
      <c r="N49" s="6"/>
      <c r="O49" s="6"/>
      <c r="P49" s="6"/>
    </row>
    <row r="50" spans="2:16">
      <c r="B50" s="180"/>
      <c r="C50" s="180"/>
      <c r="D50" s="180"/>
      <c r="K50" s="179"/>
      <c r="L50" s="179"/>
      <c r="M50" s="179"/>
      <c r="N50" s="179"/>
    </row>
    <row r="51" spans="2:16">
      <c r="K51" s="6"/>
      <c r="M51" s="6"/>
      <c r="N51" s="6"/>
      <c r="P51" s="25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B54" s="180"/>
      <c r="C54" s="180"/>
      <c r="D54" s="180"/>
      <c r="K54" s="6"/>
      <c r="M54" s="6"/>
      <c r="N54" s="6"/>
      <c r="P54" s="25"/>
    </row>
    <row r="55" spans="2:16"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</sheetData>
  <mergeCells count="20">
    <mergeCell ref="B54:D54"/>
    <mergeCell ref="O2:P2"/>
    <mergeCell ref="B26:B28"/>
    <mergeCell ref="B29:B31"/>
    <mergeCell ref="B32:B33"/>
    <mergeCell ref="C32:H32"/>
    <mergeCell ref="I32:L32"/>
    <mergeCell ref="M32:P32"/>
    <mergeCell ref="C33:P33"/>
    <mergeCell ref="C2:D2"/>
    <mergeCell ref="E2:F2"/>
    <mergeCell ref="G2:H2"/>
    <mergeCell ref="I2:J2"/>
    <mergeCell ref="K2:L2"/>
    <mergeCell ref="M2:N2"/>
    <mergeCell ref="F43:I43"/>
    <mergeCell ref="K43:N43"/>
    <mergeCell ref="P43:S43"/>
    <mergeCell ref="B50:D50"/>
    <mergeCell ref="K50:N50"/>
  </mergeCells>
  <phoneticPr fontId="20" type="noConversion"/>
  <conditionalFormatting sqref="B6:P6">
    <cfRule type="cellIs" dxfId="6" priority="4" operator="greaterThan">
      <formula>0</formula>
    </cfRule>
  </conditionalFormatting>
  <conditionalFormatting sqref="B10:P10">
    <cfRule type="cellIs" dxfId="5" priority="1" operator="greaterThan">
      <formula>0</formula>
    </cfRule>
  </conditionalFormatting>
  <conditionalFormatting sqref="B11:P12">
    <cfRule type="cellIs" dxfId="4" priority="3" operator="greaterThan">
      <formula>0</formula>
    </cfRule>
  </conditionalFormatting>
  <conditionalFormatting sqref="C7:P7">
    <cfRule type="cellIs" dxfId="3" priority="2" operator="greaterThan">
      <formula>0</formula>
    </cfRule>
  </conditionalFormatting>
  <conditionalFormatting sqref="C13:P13">
    <cfRule type="cellIs" dxfId="2" priority="7" operator="greaterThan">
      <formula>0</formula>
    </cfRule>
  </conditionalFormatting>
  <conditionalFormatting sqref="C15:P15">
    <cfRule type="cellIs" dxfId="1" priority="5" operator="greaterThan">
      <formula>0</formula>
    </cfRule>
  </conditionalFormatting>
  <conditionalFormatting sqref="C17:P17">
    <cfRule type="cellIs" dxfId="0" priority="6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4A81-8B36-432F-9820-9241B77D0730}">
  <dimension ref="A1:U30"/>
  <sheetViews>
    <sheetView tabSelected="1" workbookViewId="0">
      <selection activeCell="L6" sqref="L6"/>
    </sheetView>
  </sheetViews>
  <sheetFormatPr defaultRowHeight="15.6"/>
  <cols>
    <col min="1" max="1" width="4.44140625" style="34" customWidth="1"/>
    <col min="2" max="2" width="8.88671875" style="34" customWidth="1"/>
    <col min="3" max="3" width="53.109375" style="34" customWidth="1"/>
    <col min="4" max="4" width="9.109375" style="34" bestFit="1" customWidth="1"/>
    <col min="5" max="7" width="11.109375" style="34" bestFit="1" customWidth="1"/>
    <col min="8" max="9" width="15.77734375" style="34" customWidth="1"/>
    <col min="10" max="10" width="8.88671875" style="34"/>
    <col min="11" max="11" width="17.44140625" style="34" customWidth="1"/>
    <col min="12" max="12" width="16.77734375" style="34" customWidth="1"/>
    <col min="13" max="13" width="14.109375" style="34" customWidth="1"/>
    <col min="14" max="14" width="8.88671875" style="34"/>
    <col min="15" max="15" width="17.44140625" style="34" customWidth="1"/>
    <col min="16" max="16384" width="8.88671875" style="34"/>
  </cols>
  <sheetData>
    <row r="1" spans="1:21" ht="16.2" thickBot="1"/>
    <row r="2" spans="1:21" ht="24" customHeight="1" thickTop="1" thickBot="1">
      <c r="B2" s="126" t="s">
        <v>187</v>
      </c>
      <c r="C2" s="127"/>
      <c r="D2" s="127"/>
      <c r="E2" s="127"/>
      <c r="F2" s="127"/>
      <c r="G2" s="127"/>
      <c r="H2" s="127"/>
      <c r="I2" s="128"/>
      <c r="R2" s="52"/>
    </row>
    <row r="3" spans="1:21" ht="17.55" customHeight="1" thickTop="1">
      <c r="B3" s="129" t="s">
        <v>45</v>
      </c>
      <c r="C3" s="130"/>
      <c r="D3" s="129" t="str">
        <f>"期望"&amp;普通兑换道具</f>
        <v>期望见习魔法帽</v>
      </c>
      <c r="E3" s="133"/>
      <c r="F3" s="130"/>
      <c r="G3" s="133" t="str">
        <f>"期望"&amp;高级兑换道具</f>
        <v>期望大师魔法帽</v>
      </c>
      <c r="H3" s="133"/>
      <c r="I3" s="130"/>
      <c r="R3" s="52"/>
    </row>
    <row r="4" spans="1:21" ht="12.6" customHeight="1">
      <c r="B4" s="131"/>
      <c r="C4" s="132"/>
      <c r="D4" s="131"/>
      <c r="E4" s="134"/>
      <c r="F4" s="132"/>
      <c r="G4" s="134"/>
      <c r="H4" s="134"/>
      <c r="I4" s="132"/>
      <c r="R4" s="52"/>
      <c r="T4" s="53"/>
      <c r="U4" s="53"/>
    </row>
    <row r="5" spans="1:21" ht="20.85" customHeight="1" thickBot="1">
      <c r="B5" s="135">
        <v>40000</v>
      </c>
      <c r="C5" s="136"/>
      <c r="D5" s="137">
        <f>魔法庆典4w!O24</f>
        <v>11080</v>
      </c>
      <c r="E5" s="138"/>
      <c r="F5" s="139"/>
      <c r="G5" s="140">
        <f>魔法庆典4w!O25</f>
        <v>435.04499999999996</v>
      </c>
      <c r="H5" s="140"/>
      <c r="I5" s="141"/>
      <c r="R5" s="52"/>
      <c r="T5" s="53"/>
      <c r="U5" s="53"/>
    </row>
    <row r="6" spans="1:21" ht="17.55" customHeight="1" thickTop="1">
      <c r="B6" s="114" t="s">
        <v>185</v>
      </c>
      <c r="C6" s="115"/>
      <c r="D6" s="115"/>
      <c r="E6" s="115"/>
      <c r="F6" s="115"/>
      <c r="G6" s="115"/>
      <c r="H6" s="115"/>
      <c r="I6" s="116"/>
      <c r="R6" s="52"/>
    </row>
    <row r="7" spans="1:21" ht="17.55" customHeight="1" thickBot="1">
      <c r="B7" s="117"/>
      <c r="C7" s="118"/>
      <c r="D7" s="118"/>
      <c r="E7" s="118"/>
      <c r="F7" s="118"/>
      <c r="G7" s="118"/>
      <c r="H7" s="118"/>
      <c r="I7" s="119"/>
      <c r="R7" s="52"/>
    </row>
    <row r="8" spans="1:21" ht="32.4" customHeight="1" thickTop="1">
      <c r="B8" s="43" t="s">
        <v>35</v>
      </c>
      <c r="C8" s="44" t="s">
        <v>44</v>
      </c>
      <c r="D8" s="44" t="str">
        <f>魔法庆典4w!B20</f>
        <v>目标档位</v>
      </c>
      <c r="E8" s="44" t="str">
        <f>魔法庆典4w!B13</f>
        <v>使用奇幻扭蛋币</v>
      </c>
      <c r="F8" s="44" t="str">
        <f>魔法庆典4w!B14</f>
        <v>剩余奇幻扭蛋币</v>
      </c>
      <c r="G8" s="44" t="str">
        <f>魔法庆典4w!B16</f>
        <v>剩余随机箱</v>
      </c>
      <c r="H8" s="44" t="str">
        <f>"期望"&amp;普通兑换道具</f>
        <v>期望见习魔法帽</v>
      </c>
      <c r="I8" s="45" t="str">
        <f>"期望"&amp;高级兑换道具</f>
        <v>期望大师魔法帽</v>
      </c>
      <c r="R8" s="52"/>
    </row>
    <row r="9" spans="1:21" ht="36">
      <c r="B9" s="41" t="s">
        <v>36</v>
      </c>
      <c r="C9" s="37" t="s">
        <v>172</v>
      </c>
      <c r="D9" s="37" t="str">
        <f>魔法庆典4w!C20</f>
        <v>第1档</v>
      </c>
      <c r="E9" s="37">
        <f>魔法庆典4w!C13</f>
        <v>0</v>
      </c>
      <c r="F9" s="37">
        <f>魔法庆典4w!C14</f>
        <v>99</v>
      </c>
      <c r="G9" s="37">
        <f>魔法庆典4w!C16</f>
        <v>0</v>
      </c>
      <c r="H9" s="38">
        <f>魔法庆典4w!C24</f>
        <v>0</v>
      </c>
      <c r="I9" s="42">
        <f>魔法庆典4w!C25</f>
        <v>0</v>
      </c>
      <c r="R9" s="52"/>
    </row>
    <row r="10" spans="1:21" ht="28.2">
      <c r="B10" s="39" t="s">
        <v>37</v>
      </c>
      <c r="C10" s="35" t="s">
        <v>173</v>
      </c>
      <c r="D10" s="35" t="str">
        <f>魔法庆典4w!E20</f>
        <v>第1档</v>
      </c>
      <c r="E10" s="35">
        <f>魔法庆典4w!E13</f>
        <v>0</v>
      </c>
      <c r="F10" s="35">
        <f>魔法庆典4w!E14</f>
        <v>195</v>
      </c>
      <c r="G10" s="35">
        <f>魔法庆典4w!E16</f>
        <v>0</v>
      </c>
      <c r="H10" s="36">
        <f>魔法庆典4w!E24</f>
        <v>0</v>
      </c>
      <c r="I10" s="40">
        <f>魔法庆典4w!E25</f>
        <v>0</v>
      </c>
      <c r="R10" s="52"/>
    </row>
    <row r="11" spans="1:21" ht="28.2">
      <c r="B11" s="39" t="s">
        <v>38</v>
      </c>
      <c r="C11" s="35" t="s">
        <v>189</v>
      </c>
      <c r="D11" s="35" t="str">
        <f>魔法庆典4w!G20</f>
        <v>第1档</v>
      </c>
      <c r="E11" s="36">
        <f>魔法庆典4w!G13</f>
        <v>0</v>
      </c>
      <c r="F11" s="36">
        <f>魔法庆典4w!G14</f>
        <v>263</v>
      </c>
      <c r="G11" s="36">
        <f>魔法庆典4w!G16</f>
        <v>0</v>
      </c>
      <c r="H11" s="36">
        <f>魔法庆典4w!G24</f>
        <v>0</v>
      </c>
      <c r="I11" s="40">
        <f>魔法庆典4w!G25</f>
        <v>0</v>
      </c>
      <c r="R11" s="52"/>
    </row>
    <row r="12" spans="1:21" ht="28.2">
      <c r="B12" s="39" t="s">
        <v>39</v>
      </c>
      <c r="C12" s="35" t="s">
        <v>188</v>
      </c>
      <c r="D12" s="35" t="str">
        <f>魔法庆典4w!I20</f>
        <v>第1档</v>
      </c>
      <c r="E12" s="36">
        <f>魔法庆典4w!I13</f>
        <v>0</v>
      </c>
      <c r="F12" s="36">
        <f>魔法庆典4w!I14</f>
        <v>295</v>
      </c>
      <c r="G12" s="36">
        <f>魔法庆典4w!I16</f>
        <v>0</v>
      </c>
      <c r="H12" s="36">
        <f>魔法庆典4w!I24</f>
        <v>0</v>
      </c>
      <c r="I12" s="40">
        <f>魔法庆典4w!I25</f>
        <v>0</v>
      </c>
      <c r="R12" s="52"/>
    </row>
    <row r="13" spans="1:21" ht="28.2">
      <c r="B13" s="39" t="s">
        <v>40</v>
      </c>
      <c r="C13" s="35" t="s">
        <v>188</v>
      </c>
      <c r="D13" s="35" t="str">
        <f>魔法庆典4w!K20</f>
        <v>第1档</v>
      </c>
      <c r="E13" s="35">
        <f>魔法庆典4w!K13</f>
        <v>0</v>
      </c>
      <c r="F13" s="35">
        <f>魔法庆典4w!K14</f>
        <v>327</v>
      </c>
      <c r="G13" s="35">
        <f>魔法庆典4w!K16</f>
        <v>0</v>
      </c>
      <c r="H13" s="36">
        <f>魔法庆典4w!K24</f>
        <v>0</v>
      </c>
      <c r="I13" s="40">
        <f>魔法庆典4w!K25</f>
        <v>0</v>
      </c>
      <c r="R13" s="52"/>
    </row>
    <row r="14" spans="1:21" ht="28.2">
      <c r="B14" s="39" t="s">
        <v>41</v>
      </c>
      <c r="C14" s="35" t="s">
        <v>188</v>
      </c>
      <c r="D14" s="35" t="str">
        <f>魔法庆典4w!M20</f>
        <v>第1档</v>
      </c>
      <c r="E14" s="35">
        <f>魔法庆典4w!M13</f>
        <v>0</v>
      </c>
      <c r="F14" s="35">
        <f>魔法庆典4w!M14</f>
        <v>359</v>
      </c>
      <c r="G14" s="35">
        <f>魔法庆典4w!M16</f>
        <v>0</v>
      </c>
      <c r="H14" s="36">
        <f>魔法庆典4w!M24</f>
        <v>0</v>
      </c>
      <c r="I14" s="40">
        <f>魔法庆典4w!M25</f>
        <v>0</v>
      </c>
      <c r="R14" s="52"/>
    </row>
    <row r="15" spans="1:21" ht="48.6" thickBot="1">
      <c r="A15" s="34" t="s">
        <v>47</v>
      </c>
      <c r="B15" s="46" t="s">
        <v>42</v>
      </c>
      <c r="C15" s="47" t="s">
        <v>186</v>
      </c>
      <c r="D15" s="48" t="str">
        <f>魔法庆典4w!O20</f>
        <v>第3档</v>
      </c>
      <c r="E15" s="47">
        <f>魔法庆典4w!O13</f>
        <v>385</v>
      </c>
      <c r="F15" s="47">
        <f>魔法庆典4w!O14</f>
        <v>0</v>
      </c>
      <c r="G15" s="47">
        <f>魔法庆典4w!O16</f>
        <v>0</v>
      </c>
      <c r="H15" s="48">
        <f>魔法庆典4w!O24</f>
        <v>11080</v>
      </c>
      <c r="I15" s="49">
        <f>魔法庆典4w!O25</f>
        <v>435.04499999999996</v>
      </c>
      <c r="R15" s="52"/>
    </row>
    <row r="16" spans="1:21" ht="21" customHeight="1" thickTop="1" thickBot="1">
      <c r="B16" s="109"/>
      <c r="C16" s="110"/>
      <c r="D16" s="111"/>
      <c r="E16" s="110"/>
      <c r="F16" s="110"/>
      <c r="G16" s="110"/>
      <c r="H16" s="111"/>
      <c r="I16" s="112"/>
      <c r="R16" s="52"/>
    </row>
    <row r="17" spans="2:18" ht="18.45" customHeight="1" thickTop="1">
      <c r="B17" s="120" t="s">
        <v>43</v>
      </c>
      <c r="C17" s="121"/>
      <c r="D17" s="121"/>
      <c r="E17" s="121"/>
      <c r="F17" s="121"/>
      <c r="G17" s="121"/>
      <c r="H17" s="121"/>
      <c r="I17" s="122"/>
      <c r="R17" s="52"/>
    </row>
    <row r="18" spans="2:18" ht="66" customHeight="1" thickBot="1">
      <c r="B18" s="123" t="s">
        <v>190</v>
      </c>
      <c r="C18" s="124"/>
      <c r="D18" s="124"/>
      <c r="E18" s="124"/>
      <c r="F18" s="124"/>
      <c r="G18" s="124"/>
      <c r="H18" s="124"/>
      <c r="I18" s="125"/>
      <c r="R18" s="52"/>
    </row>
    <row r="19" spans="2:18" ht="34.5" customHeight="1" thickTop="1">
      <c r="B19" s="54" t="s">
        <v>175</v>
      </c>
      <c r="C19" s="54"/>
      <c r="D19" s="54"/>
      <c r="E19" s="54"/>
      <c r="F19" s="54"/>
      <c r="G19" s="54"/>
      <c r="H19" s="54"/>
      <c r="I19" s="54"/>
      <c r="R19" s="52"/>
    </row>
    <row r="20" spans="2:18" ht="12.9" customHeight="1">
      <c r="B20" s="54"/>
      <c r="C20" s="54"/>
      <c r="D20" s="54"/>
      <c r="E20" s="54"/>
      <c r="F20" s="54"/>
      <c r="G20" s="54"/>
      <c r="H20" s="54"/>
      <c r="I20" s="54"/>
      <c r="R20" s="52"/>
    </row>
    <row r="21" spans="2:18" ht="15.6" customHeight="1">
      <c r="R21" s="52"/>
    </row>
    <row r="22" spans="2:18" ht="16.2" customHeight="1">
      <c r="B22" s="55"/>
      <c r="C22" s="55"/>
      <c r="D22" s="55"/>
      <c r="E22" s="55"/>
      <c r="F22" s="55"/>
      <c r="G22" s="55"/>
      <c r="H22" s="55"/>
      <c r="I22" s="55"/>
      <c r="R22" s="52"/>
    </row>
    <row r="23" spans="2:18" ht="15.3" customHeight="1">
      <c r="B23" s="55"/>
      <c r="C23" s="55"/>
      <c r="D23" s="55"/>
      <c r="E23" s="55"/>
      <c r="F23" s="55"/>
      <c r="G23" s="55"/>
      <c r="H23" s="55"/>
      <c r="I23" s="55"/>
      <c r="R23" s="52"/>
    </row>
    <row r="24" spans="2:18" ht="22.95" customHeight="1">
      <c r="B24" s="55"/>
      <c r="C24" s="55"/>
      <c r="D24" s="55"/>
      <c r="E24" s="55"/>
      <c r="F24" s="55"/>
      <c r="G24" s="55"/>
      <c r="H24" s="55"/>
      <c r="I24" s="55"/>
      <c r="R24" s="52"/>
    </row>
    <row r="25" spans="2:18" ht="22.95" customHeight="1">
      <c r="N25" s="52"/>
      <c r="O25" s="52"/>
      <c r="P25" s="52"/>
      <c r="Q25" s="52"/>
      <c r="R25" s="52"/>
    </row>
    <row r="26" spans="2:18" ht="22.95" customHeight="1">
      <c r="N26" s="52"/>
      <c r="O26" s="52"/>
      <c r="P26" s="52"/>
      <c r="Q26" s="52"/>
      <c r="R26" s="52"/>
    </row>
    <row r="27" spans="2:18" ht="15.6" customHeight="1">
      <c r="N27" s="52"/>
      <c r="O27" s="52"/>
      <c r="P27" s="52"/>
      <c r="Q27" s="52"/>
      <c r="R27" s="52"/>
    </row>
    <row r="28" spans="2:18" ht="20.55" customHeight="1">
      <c r="N28" s="52"/>
      <c r="O28" s="52"/>
      <c r="P28" s="52"/>
      <c r="Q28" s="52"/>
      <c r="R28" s="52"/>
    </row>
    <row r="29" spans="2:18" ht="15.6" customHeight="1">
      <c r="N29" s="52"/>
      <c r="O29" s="52"/>
      <c r="P29" s="52"/>
      <c r="Q29" s="52"/>
      <c r="R29" s="52"/>
    </row>
    <row r="30" spans="2:18" ht="17.850000000000001" customHeight="1"/>
  </sheetData>
  <mergeCells count="10">
    <mergeCell ref="B6:I7"/>
    <mergeCell ref="B17:I17"/>
    <mergeCell ref="B18:I18"/>
    <mergeCell ref="B2:I2"/>
    <mergeCell ref="B3:C4"/>
    <mergeCell ref="D3:F4"/>
    <mergeCell ref="G3:I4"/>
    <mergeCell ref="B5:C5"/>
    <mergeCell ref="D5:F5"/>
    <mergeCell ref="G5:I5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28</vt:i4>
      </vt:variant>
    </vt:vector>
  </HeadingPairs>
  <TitlesOfParts>
    <vt:vector size="35" baseType="lpstr">
      <vt:lpstr>氪金转盘</vt:lpstr>
      <vt:lpstr>兑换列表</vt:lpstr>
      <vt:lpstr>基础计算设置</vt:lpstr>
      <vt:lpstr>魔法庆典9.8w</vt:lpstr>
      <vt:lpstr>魔法庆典9.8w钻攻略图</vt:lpstr>
      <vt:lpstr>魔法庆典4w</vt:lpstr>
      <vt:lpstr>魔法庆典4w钻攻略图</vt:lpstr>
      <vt:lpstr>抽奖道具</vt:lpstr>
      <vt:lpstr>档位积分1</vt:lpstr>
      <vt:lpstr>档位积分2</vt:lpstr>
      <vt:lpstr>档位积分3</vt:lpstr>
      <vt:lpstr>档位积分4</vt:lpstr>
      <vt:lpstr>档位积分5</vt:lpstr>
      <vt:lpstr>档位奖励1</vt:lpstr>
      <vt:lpstr>档位奖励2</vt:lpstr>
      <vt:lpstr>档位奖励3</vt:lpstr>
      <vt:lpstr>档位奖励4</vt:lpstr>
      <vt:lpstr>档位奖励5</vt:lpstr>
      <vt:lpstr>第1档</vt:lpstr>
      <vt:lpstr>第5档</vt:lpstr>
      <vt:lpstr>翡翠100</vt:lpstr>
      <vt:lpstr>翡翠10000</vt:lpstr>
      <vt:lpstr>高级兑换道具</vt:lpstr>
      <vt:lpstr>高级兑换道具抽奖期望</vt:lpstr>
      <vt:lpstr>积分规则1</vt:lpstr>
      <vt:lpstr>积分规则2</vt:lpstr>
      <vt:lpstr>积分规则3</vt:lpstr>
      <vt:lpstr>价格6</vt:lpstr>
      <vt:lpstr>价格648</vt:lpstr>
      <vt:lpstr>普通兑换道具</vt:lpstr>
      <vt:lpstr>普通兑换道具抽奖期望</vt:lpstr>
      <vt:lpstr>随机箱高级道具期望</vt:lpstr>
      <vt:lpstr>随机箱积分</vt:lpstr>
      <vt:lpstr>钻石购买</vt:lpstr>
      <vt:lpstr>钻石限购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chicken tree</cp:lastModifiedBy>
  <dcterms:modified xsi:type="dcterms:W3CDTF">2026-08-31T01:03:55Z</dcterms:modified>
</cp:coreProperties>
</file>