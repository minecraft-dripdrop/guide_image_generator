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卡皮模拟\攻略图生成器\excel\"/>
    </mc:Choice>
  </mc:AlternateContent>
  <xr:revisionPtr revIDLastSave="0" documentId="13_ncr:1_{F372B630-ACB4-436A-9ACC-C92567FFBD51}" xr6:coauthVersionLast="47" xr6:coauthVersionMax="47" xr10:uidLastSave="{00000000-0000-0000-0000-000000000000}"/>
  <bookViews>
    <workbookView xWindow="22932" yWindow="-108" windowWidth="23256" windowHeight="12456" firstSheet="4" activeTab="9" xr2:uid="{00000000-000D-0000-FFFF-FFFF00000000}"/>
  </bookViews>
  <sheets>
    <sheet name="兑换列表" sheetId="7" r:id="rId1"/>
    <sheet name="基础计算设置" sheetId="2" r:id="rId2"/>
    <sheet name="垂钓盛典5.6w" sheetId="3" r:id="rId3"/>
    <sheet name="垂钓盛典5.6w钻攻略图" sheetId="4" r:id="rId4"/>
    <sheet name="1000翡翠灰烬龙" sheetId="9" r:id="rId5"/>
    <sheet name="1000翡翠灰烬龙攻略图" sheetId="10" r:id="rId6"/>
    <sheet name="垂钓盛典1.6w钻" sheetId="11" r:id="rId7"/>
    <sheet name="垂钓盛典1.6w钻攻略图" sheetId="12" r:id="rId8"/>
    <sheet name="120鱼王" sheetId="14" r:id="rId9"/>
    <sheet name="120鱼王攻略图" sheetId="15" r:id="rId10"/>
  </sheets>
  <definedNames>
    <definedName name="抽奖道具">基础计算设置!$B$1</definedName>
    <definedName name="档位积分1">基础计算设置!$B$6</definedName>
    <definedName name="档位积分2">基础计算设置!$B$7</definedName>
    <definedName name="档位积分3">基础计算设置!$B$8</definedName>
    <definedName name="档位积分4">基础计算设置!$B$9</definedName>
    <definedName name="档位积分5">基础计算设置!$B$10</definedName>
    <definedName name="档位奖励1">基础计算设置!$C$6</definedName>
    <definedName name="档位奖励2">基础计算设置!$C$7</definedName>
    <definedName name="档位奖励3">基础计算设置!$C$8</definedName>
    <definedName name="档位奖励4">基础计算设置!$C$9</definedName>
    <definedName name="档位奖励5">基础计算设置!$C$10</definedName>
    <definedName name="第1档">基础计算设置!$A$6</definedName>
    <definedName name="第5档">基础计算设置!$A$10</definedName>
    <definedName name="翡翠100">基础计算设置!$B$29</definedName>
    <definedName name="翡翠10000">基础计算设置!$B$36</definedName>
    <definedName name="高级兑换道具">基础计算设置!$B$3</definedName>
    <definedName name="高级兑换道具抽奖期望">基础计算设置!$I$29</definedName>
    <definedName name="积分规则1">基础计算设置!$B$13</definedName>
    <definedName name="积分规则2">基础计算设置!$B$14</definedName>
    <definedName name="积分规则3">基础计算设置!$I$30</definedName>
    <definedName name="价格6">基础计算设置!$A$29</definedName>
    <definedName name="价格648">基础计算设置!$A$36</definedName>
    <definedName name="普通兑换道具">基础计算设置!$B$2</definedName>
    <definedName name="普通兑换道具抽奖期望">基础计算设置!#REF!</definedName>
    <definedName name="随机箱高级道具期望">基础计算设置!$C$26</definedName>
    <definedName name="随机箱积分">基础计算设置!$D$26</definedName>
    <definedName name="钻石购买">基础计算设置!$B$18</definedName>
    <definedName name="钻石限购">基础计算设置!$B$19</definedName>
  </definedNames>
  <calcPr calcId="181029"/>
</workbook>
</file>

<file path=xl/calcChain.xml><?xml version="1.0" encoding="utf-8"?>
<calcChain xmlns="http://schemas.openxmlformats.org/spreadsheetml/2006/main">
  <c r="J15" i="15" l="1"/>
  <c r="J14" i="15"/>
  <c r="J13" i="15"/>
  <c r="J12" i="15"/>
  <c r="J11" i="15"/>
  <c r="J10" i="15"/>
  <c r="J9" i="15"/>
  <c r="J15" i="12"/>
  <c r="J14" i="12"/>
  <c r="J13" i="12"/>
  <c r="J12" i="12"/>
  <c r="J11" i="12"/>
  <c r="J10" i="12"/>
  <c r="J9" i="12"/>
  <c r="J15" i="10"/>
  <c r="J14" i="10"/>
  <c r="J13" i="10"/>
  <c r="J12" i="10"/>
  <c r="J10" i="10"/>
  <c r="J9" i="10"/>
  <c r="J11" i="10"/>
  <c r="J15" i="4"/>
  <c r="J14" i="4"/>
  <c r="J13" i="4"/>
  <c r="J12" i="4"/>
  <c r="J11" i="4"/>
  <c r="J10" i="4"/>
  <c r="J9" i="4"/>
  <c r="C26" i="14"/>
  <c r="E26" i="14" s="1"/>
  <c r="E30" i="14"/>
  <c r="F30" i="14"/>
  <c r="G30" i="14"/>
  <c r="D32" i="14"/>
  <c r="C32" i="14"/>
  <c r="E15" i="15"/>
  <c r="E14" i="15"/>
  <c r="E13" i="15"/>
  <c r="E12" i="15"/>
  <c r="E11" i="15"/>
  <c r="E10" i="15"/>
  <c r="E9" i="15"/>
  <c r="I8" i="15"/>
  <c r="H8" i="15"/>
  <c r="G8" i="15"/>
  <c r="E8" i="15"/>
  <c r="D8" i="15"/>
  <c r="G3" i="15"/>
  <c r="D3" i="15"/>
  <c r="I33" i="14"/>
  <c r="C33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P30" i="14"/>
  <c r="O30" i="14"/>
  <c r="N30" i="14"/>
  <c r="M30" i="14"/>
  <c r="J30" i="14"/>
  <c r="I30" i="14"/>
  <c r="H30" i="14"/>
  <c r="D30" i="14"/>
  <c r="C30" i="14"/>
  <c r="B26" i="14"/>
  <c r="B25" i="14"/>
  <c r="C23" i="14"/>
  <c r="C25" i="14" s="1"/>
  <c r="C22" i="14"/>
  <c r="C14" i="14" s="1"/>
  <c r="B22" i="14"/>
  <c r="P17" i="14"/>
  <c r="N17" i="14"/>
  <c r="L17" i="14"/>
  <c r="J17" i="14"/>
  <c r="H17" i="14"/>
  <c r="F17" i="14"/>
  <c r="D17" i="14"/>
  <c r="B14" i="14"/>
  <c r="F8" i="15" s="1"/>
  <c r="P13" i="14"/>
  <c r="N13" i="14"/>
  <c r="L13" i="14"/>
  <c r="J13" i="14"/>
  <c r="H13" i="14"/>
  <c r="F13" i="14"/>
  <c r="D13" i="14"/>
  <c r="B13" i="14"/>
  <c r="P12" i="14"/>
  <c r="N12" i="14"/>
  <c r="L12" i="14"/>
  <c r="J12" i="14"/>
  <c r="H12" i="14"/>
  <c r="F12" i="14"/>
  <c r="D12" i="14"/>
  <c r="P11" i="14"/>
  <c r="N11" i="14"/>
  <c r="L11" i="14"/>
  <c r="J11" i="14"/>
  <c r="H11" i="14"/>
  <c r="F11" i="14"/>
  <c r="D11" i="14"/>
  <c r="P10" i="14"/>
  <c r="N10" i="14"/>
  <c r="L10" i="14"/>
  <c r="J10" i="14"/>
  <c r="H10" i="14"/>
  <c r="F10" i="14"/>
  <c r="D10" i="14"/>
  <c r="P9" i="14"/>
  <c r="N9" i="14"/>
  <c r="L9" i="14"/>
  <c r="J9" i="14"/>
  <c r="H9" i="14"/>
  <c r="F9" i="14"/>
  <c r="D9" i="14"/>
  <c r="P8" i="14"/>
  <c r="N8" i="14"/>
  <c r="L8" i="14"/>
  <c r="J8" i="14"/>
  <c r="H8" i="14"/>
  <c r="F8" i="14"/>
  <c r="D8" i="14"/>
  <c r="P7" i="14"/>
  <c r="N7" i="14"/>
  <c r="L7" i="14"/>
  <c r="J7" i="14"/>
  <c r="H7" i="14"/>
  <c r="F7" i="14"/>
  <c r="D7" i="14"/>
  <c r="P6" i="14"/>
  <c r="N6" i="14"/>
  <c r="L6" i="14"/>
  <c r="J6" i="14"/>
  <c r="H6" i="14"/>
  <c r="F6" i="14"/>
  <c r="D6" i="14"/>
  <c r="P5" i="14"/>
  <c r="N5" i="14"/>
  <c r="L5" i="14"/>
  <c r="J5" i="14"/>
  <c r="H5" i="14"/>
  <c r="F5" i="14"/>
  <c r="D5" i="14"/>
  <c r="P4" i="14"/>
  <c r="N4" i="14"/>
  <c r="L4" i="14"/>
  <c r="J4" i="14"/>
  <c r="H4" i="14"/>
  <c r="F4" i="14"/>
  <c r="D4" i="14"/>
  <c r="O3" i="14"/>
  <c r="M3" i="14"/>
  <c r="K3" i="14"/>
  <c r="I3" i="14"/>
  <c r="G3" i="14"/>
  <c r="E3" i="14"/>
  <c r="C3" i="14"/>
  <c r="N6" i="11"/>
  <c r="H9" i="15" l="1"/>
  <c r="M33" i="14"/>
  <c r="F9" i="15"/>
  <c r="E14" i="14"/>
  <c r="G26" i="14"/>
  <c r="I10" i="15"/>
  <c r="E22" i="14"/>
  <c r="G22" i="14" s="1"/>
  <c r="I22" i="14" s="1"/>
  <c r="K22" i="14" s="1"/>
  <c r="M22" i="14" s="1"/>
  <c r="O22" i="14" s="1"/>
  <c r="D22" i="14"/>
  <c r="E23" i="14"/>
  <c r="E25" i="14" s="1"/>
  <c r="I9" i="15"/>
  <c r="E15" i="12"/>
  <c r="E14" i="12"/>
  <c r="E13" i="12"/>
  <c r="E12" i="12"/>
  <c r="E11" i="12"/>
  <c r="E10" i="12"/>
  <c r="E9" i="12"/>
  <c r="I8" i="12"/>
  <c r="H8" i="12"/>
  <c r="G8" i="12"/>
  <c r="D8" i="12"/>
  <c r="G3" i="12"/>
  <c r="D3" i="12"/>
  <c r="I33" i="11"/>
  <c r="C33" i="11"/>
  <c r="B5" i="12" s="1"/>
  <c r="O31" i="11"/>
  <c r="N31" i="11"/>
  <c r="M31" i="11"/>
  <c r="L31" i="11"/>
  <c r="K31" i="11"/>
  <c r="J31" i="11"/>
  <c r="I31" i="11"/>
  <c r="H31" i="11"/>
  <c r="G31" i="11"/>
  <c r="F31" i="11"/>
  <c r="E31" i="11"/>
  <c r="D31" i="11"/>
  <c r="C31" i="11"/>
  <c r="P30" i="11"/>
  <c r="O30" i="11"/>
  <c r="N30" i="11"/>
  <c r="M30" i="11"/>
  <c r="L30" i="11"/>
  <c r="K30" i="11"/>
  <c r="J30" i="11"/>
  <c r="I30" i="11"/>
  <c r="H30" i="11"/>
  <c r="G30" i="11"/>
  <c r="F30" i="11"/>
  <c r="E30" i="11"/>
  <c r="D30" i="11"/>
  <c r="C30" i="11"/>
  <c r="C26" i="11"/>
  <c r="E26" i="11" s="1"/>
  <c r="B26" i="11"/>
  <c r="B25" i="11"/>
  <c r="C23" i="11"/>
  <c r="C25" i="11" s="1"/>
  <c r="H9" i="12" s="1"/>
  <c r="C22" i="11"/>
  <c r="C14" i="11" s="1"/>
  <c r="B22" i="11"/>
  <c r="P17" i="11"/>
  <c r="N17" i="11"/>
  <c r="L17" i="11"/>
  <c r="J17" i="11"/>
  <c r="H17" i="11"/>
  <c r="F17" i="11"/>
  <c r="D17" i="11"/>
  <c r="B14" i="11"/>
  <c r="F8" i="12" s="1"/>
  <c r="P13" i="11"/>
  <c r="N13" i="11"/>
  <c r="L13" i="11"/>
  <c r="J13" i="11"/>
  <c r="H13" i="11"/>
  <c r="F13" i="11"/>
  <c r="D13" i="11"/>
  <c r="B13" i="11"/>
  <c r="E8" i="12" s="1"/>
  <c r="P12" i="11"/>
  <c r="N12" i="11"/>
  <c r="L12" i="11"/>
  <c r="J12" i="11"/>
  <c r="H12" i="11"/>
  <c r="F12" i="11"/>
  <c r="D12" i="11"/>
  <c r="P11" i="11"/>
  <c r="N11" i="11"/>
  <c r="L11" i="11"/>
  <c r="J11" i="11"/>
  <c r="H11" i="11"/>
  <c r="F11" i="11"/>
  <c r="D11" i="11"/>
  <c r="P10" i="11"/>
  <c r="N10" i="11"/>
  <c r="L10" i="11"/>
  <c r="J10" i="11"/>
  <c r="H10" i="11"/>
  <c r="F10" i="11"/>
  <c r="D10" i="11"/>
  <c r="P9" i="11"/>
  <c r="N9" i="11"/>
  <c r="L9" i="11"/>
  <c r="J9" i="11"/>
  <c r="H9" i="11"/>
  <c r="F9" i="11"/>
  <c r="D9" i="11"/>
  <c r="P8" i="11"/>
  <c r="N8" i="11"/>
  <c r="L8" i="11"/>
  <c r="J8" i="11"/>
  <c r="H8" i="11"/>
  <c r="F8" i="11"/>
  <c r="D8" i="11"/>
  <c r="P7" i="11"/>
  <c r="N7" i="11"/>
  <c r="L7" i="11"/>
  <c r="J7" i="11"/>
  <c r="H7" i="11"/>
  <c r="F7" i="11"/>
  <c r="D7" i="11"/>
  <c r="P6" i="11"/>
  <c r="L6" i="11"/>
  <c r="J6" i="11"/>
  <c r="H6" i="11"/>
  <c r="F6" i="11"/>
  <c r="D6" i="11"/>
  <c r="P5" i="11"/>
  <c r="N5" i="11"/>
  <c r="L5" i="11"/>
  <c r="J5" i="11"/>
  <c r="H5" i="11"/>
  <c r="F5" i="11"/>
  <c r="D5" i="11"/>
  <c r="P4" i="11"/>
  <c r="N4" i="11"/>
  <c r="L4" i="11"/>
  <c r="J4" i="11"/>
  <c r="H4" i="11"/>
  <c r="F4" i="11"/>
  <c r="D4" i="11"/>
  <c r="O3" i="11"/>
  <c r="M3" i="11"/>
  <c r="K3" i="11"/>
  <c r="I3" i="11"/>
  <c r="G3" i="11"/>
  <c r="E3" i="11"/>
  <c r="C3" i="11"/>
  <c r="E15" i="10"/>
  <c r="E14" i="10"/>
  <c r="E13" i="10"/>
  <c r="E12" i="10"/>
  <c r="E11" i="10"/>
  <c r="E10" i="10"/>
  <c r="E9" i="10"/>
  <c r="I8" i="10"/>
  <c r="H8" i="10"/>
  <c r="G8" i="10"/>
  <c r="D8" i="10"/>
  <c r="G3" i="10"/>
  <c r="D3" i="10"/>
  <c r="I33" i="9"/>
  <c r="C33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P30" i="9"/>
  <c r="O30" i="9"/>
  <c r="N30" i="9"/>
  <c r="M30" i="9"/>
  <c r="L30" i="9"/>
  <c r="K30" i="9"/>
  <c r="J30" i="9"/>
  <c r="I30" i="9"/>
  <c r="H30" i="9"/>
  <c r="G30" i="9"/>
  <c r="F30" i="9"/>
  <c r="E30" i="9"/>
  <c r="D30" i="9"/>
  <c r="C30" i="9"/>
  <c r="C26" i="9"/>
  <c r="I9" i="10" s="1"/>
  <c r="B26" i="9"/>
  <c r="B25" i="9"/>
  <c r="C23" i="9"/>
  <c r="C25" i="9" s="1"/>
  <c r="H9" i="10" s="1"/>
  <c r="C22" i="9"/>
  <c r="E22" i="9" s="1"/>
  <c r="G22" i="9" s="1"/>
  <c r="I22" i="9" s="1"/>
  <c r="K22" i="9" s="1"/>
  <c r="M22" i="9" s="1"/>
  <c r="O22" i="9" s="1"/>
  <c r="B22" i="9"/>
  <c r="P17" i="9"/>
  <c r="N17" i="9"/>
  <c r="L17" i="9"/>
  <c r="J17" i="9"/>
  <c r="H17" i="9"/>
  <c r="F17" i="9"/>
  <c r="D17" i="9"/>
  <c r="B14" i="9"/>
  <c r="F8" i="10" s="1"/>
  <c r="P13" i="9"/>
  <c r="N13" i="9"/>
  <c r="L13" i="9"/>
  <c r="J13" i="9"/>
  <c r="H13" i="9"/>
  <c r="F13" i="9"/>
  <c r="D13" i="9"/>
  <c r="B13" i="9"/>
  <c r="E8" i="10" s="1"/>
  <c r="P12" i="9"/>
  <c r="N12" i="9"/>
  <c r="L12" i="9"/>
  <c r="J12" i="9"/>
  <c r="H12" i="9"/>
  <c r="F12" i="9"/>
  <c r="D12" i="9"/>
  <c r="P11" i="9"/>
  <c r="N11" i="9"/>
  <c r="L11" i="9"/>
  <c r="J11" i="9"/>
  <c r="H11" i="9"/>
  <c r="F11" i="9"/>
  <c r="D11" i="9"/>
  <c r="P10" i="9"/>
  <c r="N10" i="9"/>
  <c r="L10" i="9"/>
  <c r="J10" i="9"/>
  <c r="H10" i="9"/>
  <c r="F10" i="9"/>
  <c r="D10" i="9"/>
  <c r="P9" i="9"/>
  <c r="N9" i="9"/>
  <c r="L9" i="9"/>
  <c r="J9" i="9"/>
  <c r="H9" i="9"/>
  <c r="F9" i="9"/>
  <c r="D9" i="9"/>
  <c r="P8" i="9"/>
  <c r="N8" i="9"/>
  <c r="L8" i="9"/>
  <c r="J8" i="9"/>
  <c r="H8" i="9"/>
  <c r="F8" i="9"/>
  <c r="D8" i="9"/>
  <c r="P7" i="9"/>
  <c r="N7" i="9"/>
  <c r="L7" i="9"/>
  <c r="J7" i="9"/>
  <c r="H7" i="9"/>
  <c r="F7" i="9"/>
  <c r="D7" i="9"/>
  <c r="P6" i="9"/>
  <c r="N6" i="9"/>
  <c r="L6" i="9"/>
  <c r="J6" i="9"/>
  <c r="H6" i="9"/>
  <c r="F6" i="9"/>
  <c r="D6" i="9"/>
  <c r="P5" i="9"/>
  <c r="N5" i="9"/>
  <c r="L5" i="9"/>
  <c r="J5" i="9"/>
  <c r="H5" i="9"/>
  <c r="F5" i="9"/>
  <c r="D5" i="9"/>
  <c r="P4" i="9"/>
  <c r="N4" i="9"/>
  <c r="L4" i="9"/>
  <c r="J4" i="9"/>
  <c r="H4" i="9"/>
  <c r="F4" i="9"/>
  <c r="D4" i="9"/>
  <c r="O3" i="9"/>
  <c r="M3" i="9"/>
  <c r="K3" i="9"/>
  <c r="I3" i="9"/>
  <c r="G3" i="9"/>
  <c r="E3" i="9"/>
  <c r="C3" i="9"/>
  <c r="K16" i="7"/>
  <c r="L16" i="7" s="1"/>
  <c r="K15" i="7"/>
  <c r="L15" i="7" s="1"/>
  <c r="K14" i="7"/>
  <c r="L14" i="7" s="1"/>
  <c r="M19" i="7"/>
  <c r="K19" i="7"/>
  <c r="L19" i="7" s="1"/>
  <c r="K35" i="7"/>
  <c r="L35" i="7" s="1"/>
  <c r="K25" i="7"/>
  <c r="L25" i="7" s="1"/>
  <c r="K24" i="7"/>
  <c r="L24" i="7" s="1"/>
  <c r="K23" i="7"/>
  <c r="L23" i="7" s="1"/>
  <c r="K22" i="7"/>
  <c r="L22" i="7" s="1"/>
  <c r="L33" i="7"/>
  <c r="K33" i="7"/>
  <c r="C23" i="3"/>
  <c r="C25" i="3" s="1"/>
  <c r="P17" i="3"/>
  <c r="N17" i="3"/>
  <c r="L17" i="3"/>
  <c r="J17" i="3"/>
  <c r="H17" i="3"/>
  <c r="F17" i="3"/>
  <c r="D17" i="3"/>
  <c r="M25" i="2"/>
  <c r="M24" i="2"/>
  <c r="M23" i="2"/>
  <c r="M22" i="2"/>
  <c r="M21" i="2"/>
  <c r="M20" i="2"/>
  <c r="L20" i="2"/>
  <c r="M19" i="2"/>
  <c r="M18" i="2"/>
  <c r="M17" i="2"/>
  <c r="M16" i="2"/>
  <c r="M15" i="2"/>
  <c r="M14" i="2"/>
  <c r="L14" i="2"/>
  <c r="M13" i="2"/>
  <c r="M12" i="2"/>
  <c r="M11" i="2"/>
  <c r="M10" i="2"/>
  <c r="M9" i="2"/>
  <c r="M8" i="2"/>
  <c r="L8" i="2"/>
  <c r="M7" i="2"/>
  <c r="M6" i="2"/>
  <c r="M5" i="2"/>
  <c r="M4" i="2"/>
  <c r="M3" i="2"/>
  <c r="M2" i="2"/>
  <c r="L2" i="2"/>
  <c r="F29" i="2"/>
  <c r="H10" i="15" l="1"/>
  <c r="G23" i="14"/>
  <c r="G25" i="14" s="1"/>
  <c r="I11" i="15"/>
  <c r="I26" i="14"/>
  <c r="F10" i="15"/>
  <c r="G14" i="14"/>
  <c r="M33" i="11"/>
  <c r="E14" i="11"/>
  <c r="F9" i="12"/>
  <c r="G26" i="11"/>
  <c r="I10" i="12"/>
  <c r="D22" i="11"/>
  <c r="E23" i="11"/>
  <c r="E25" i="11" s="1"/>
  <c r="E23" i="3"/>
  <c r="G23" i="3" s="1"/>
  <c r="G25" i="3" s="1"/>
  <c r="I9" i="12"/>
  <c r="E22" i="11"/>
  <c r="G22" i="11" s="1"/>
  <c r="I22" i="11" s="1"/>
  <c r="K22" i="11" s="1"/>
  <c r="M22" i="11" s="1"/>
  <c r="O22" i="11" s="1"/>
  <c r="E26" i="9"/>
  <c r="I10" i="10" s="1"/>
  <c r="C14" i="9"/>
  <c r="F9" i="10" s="1"/>
  <c r="M33" i="9"/>
  <c r="D22" i="9"/>
  <c r="E23" i="9"/>
  <c r="E14" i="9"/>
  <c r="N14" i="2"/>
  <c r="N8" i="2"/>
  <c r="N20" i="2"/>
  <c r="O20" i="2" s="1"/>
  <c r="N2" i="2"/>
  <c r="O2" i="2" s="1"/>
  <c r="O8" i="2" s="1"/>
  <c r="O14" i="2" s="1"/>
  <c r="F11" i="15" l="1"/>
  <c r="I14" i="14"/>
  <c r="H11" i="15"/>
  <c r="I23" i="14"/>
  <c r="I25" i="14" s="1"/>
  <c r="I12" i="15"/>
  <c r="K26" i="14"/>
  <c r="H10" i="12"/>
  <c r="G23" i="11"/>
  <c r="G25" i="11" s="1"/>
  <c r="G26" i="9"/>
  <c r="I11" i="10" s="1"/>
  <c r="I11" i="12"/>
  <c r="I26" i="11"/>
  <c r="I23" i="3"/>
  <c r="I25" i="3" s="1"/>
  <c r="E25" i="3"/>
  <c r="F10" i="12"/>
  <c r="G14" i="11"/>
  <c r="I26" i="9"/>
  <c r="F10" i="10"/>
  <c r="G14" i="9"/>
  <c r="E25" i="9"/>
  <c r="H10" i="10" s="1"/>
  <c r="G23" i="9"/>
  <c r="K23" i="3"/>
  <c r="K25" i="3" s="1"/>
  <c r="A14" i="2"/>
  <c r="A13" i="2"/>
  <c r="I13" i="15" l="1"/>
  <c r="M26" i="14"/>
  <c r="K23" i="14"/>
  <c r="K25" i="14" s="1"/>
  <c r="H12" i="15"/>
  <c r="K14" i="14"/>
  <c r="F12" i="15"/>
  <c r="I12" i="12"/>
  <c r="K26" i="11"/>
  <c r="I23" i="11"/>
  <c r="I25" i="11" s="1"/>
  <c r="H11" i="12"/>
  <c r="F11" i="12"/>
  <c r="I14" i="11"/>
  <c r="I23" i="9"/>
  <c r="G25" i="9"/>
  <c r="H11" i="10" s="1"/>
  <c r="F11" i="10"/>
  <c r="I14" i="9"/>
  <c r="I12" i="10"/>
  <c r="K26" i="9"/>
  <c r="M23" i="3"/>
  <c r="M25" i="3" s="1"/>
  <c r="F13" i="15" l="1"/>
  <c r="M14" i="14"/>
  <c r="M23" i="14"/>
  <c r="H13" i="15"/>
  <c r="O26" i="14"/>
  <c r="I14" i="15"/>
  <c r="K23" i="11"/>
  <c r="K25" i="11" s="1"/>
  <c r="H12" i="12"/>
  <c r="I13" i="12"/>
  <c r="M26" i="11"/>
  <c r="K14" i="11"/>
  <c r="F12" i="12"/>
  <c r="K23" i="9"/>
  <c r="I25" i="9"/>
  <c r="H12" i="10" s="1"/>
  <c r="K14" i="9"/>
  <c r="F12" i="10"/>
  <c r="I13" i="10"/>
  <c r="M26" i="9"/>
  <c r="O23" i="3"/>
  <c r="O25" i="3" s="1"/>
  <c r="N10" i="3"/>
  <c r="L10" i="3"/>
  <c r="J10" i="3"/>
  <c r="H10" i="3"/>
  <c r="F10" i="3"/>
  <c r="D10" i="3"/>
  <c r="P10" i="3"/>
  <c r="I15" i="15" l="1"/>
  <c r="G5" i="15"/>
  <c r="O23" i="14"/>
  <c r="M25" i="14"/>
  <c r="H14" i="15" s="1"/>
  <c r="F14" i="15"/>
  <c r="O14" i="14"/>
  <c r="F15" i="15" s="1"/>
  <c r="M14" i="11"/>
  <c r="F13" i="12"/>
  <c r="O26" i="11"/>
  <c r="I14" i="12"/>
  <c r="H13" i="12"/>
  <c r="M23" i="11"/>
  <c r="M25" i="11" s="1"/>
  <c r="O26" i="9"/>
  <c r="I14" i="10"/>
  <c r="M14" i="9"/>
  <c r="F13" i="10"/>
  <c r="M23" i="9"/>
  <c r="K25" i="9"/>
  <c r="H13" i="10" s="1"/>
  <c r="F13" i="3"/>
  <c r="H13" i="3"/>
  <c r="D13" i="3"/>
  <c r="N13" i="3"/>
  <c r="P13" i="3"/>
  <c r="J13" i="3"/>
  <c r="P9" i="3"/>
  <c r="N9" i="3"/>
  <c r="L9" i="3"/>
  <c r="J9" i="3"/>
  <c r="H9" i="3"/>
  <c r="F9" i="3"/>
  <c r="D9" i="3"/>
  <c r="C22" i="3"/>
  <c r="A18" i="2"/>
  <c r="D8" i="4"/>
  <c r="B22" i="3"/>
  <c r="B13" i="3"/>
  <c r="B14" i="3"/>
  <c r="C33" i="3"/>
  <c r="I33" i="3"/>
  <c r="O31" i="3"/>
  <c r="P30" i="3"/>
  <c r="O30" i="3"/>
  <c r="N31" i="3"/>
  <c r="M31" i="3"/>
  <c r="N30" i="3"/>
  <c r="M30" i="3"/>
  <c r="L31" i="3"/>
  <c r="K31" i="3"/>
  <c r="L30" i="3"/>
  <c r="K30" i="3"/>
  <c r="J31" i="3"/>
  <c r="I31" i="3"/>
  <c r="J30" i="3"/>
  <c r="I30" i="3"/>
  <c r="H31" i="3"/>
  <c r="G31" i="3"/>
  <c r="H30" i="3"/>
  <c r="G30" i="3"/>
  <c r="F31" i="3"/>
  <c r="E31" i="3"/>
  <c r="F30" i="3"/>
  <c r="E30" i="3"/>
  <c r="D31" i="3"/>
  <c r="C31" i="3"/>
  <c r="D30" i="3"/>
  <c r="C30" i="3"/>
  <c r="C34" i="14" l="1"/>
  <c r="O25" i="14"/>
  <c r="H15" i="15" s="1"/>
  <c r="D5" i="15"/>
  <c r="O23" i="11"/>
  <c r="O25" i="11" s="1"/>
  <c r="H14" i="12"/>
  <c r="I15" i="12"/>
  <c r="G5" i="12"/>
  <c r="C34" i="11"/>
  <c r="F14" i="12"/>
  <c r="O14" i="11"/>
  <c r="F15" i="12" s="1"/>
  <c r="I15" i="10"/>
  <c r="G5" i="10"/>
  <c r="O23" i="9"/>
  <c r="O25" i="9" s="1"/>
  <c r="M25" i="9"/>
  <c r="H14" i="10" s="1"/>
  <c r="F14" i="10"/>
  <c r="O14" i="9"/>
  <c r="F15" i="10" s="1"/>
  <c r="C14" i="3"/>
  <c r="E14" i="3" s="1"/>
  <c r="G14" i="3" s="1"/>
  <c r="I14" i="3" s="1"/>
  <c r="K14" i="3" s="1"/>
  <c r="M14" i="3" s="1"/>
  <c r="O14" i="3" s="1"/>
  <c r="E22" i="3"/>
  <c r="G22" i="3" s="1"/>
  <c r="I22" i="3" s="1"/>
  <c r="K22" i="3" s="1"/>
  <c r="M22" i="3" s="1"/>
  <c r="O22" i="3" s="1"/>
  <c r="D22" i="3"/>
  <c r="L13" i="3"/>
  <c r="P11" i="3"/>
  <c r="N7" i="3"/>
  <c r="F11" i="3"/>
  <c r="P4" i="3"/>
  <c r="F8" i="3"/>
  <c r="L12" i="3"/>
  <c r="J8" i="3"/>
  <c r="F12" i="3"/>
  <c r="N6" i="3"/>
  <c r="P8" i="3"/>
  <c r="L11" i="3"/>
  <c r="J7" i="3"/>
  <c r="D11" i="3"/>
  <c r="N5" i="3"/>
  <c r="D7" i="3"/>
  <c r="N8" i="3"/>
  <c r="P5" i="3"/>
  <c r="P7" i="3"/>
  <c r="H12" i="3"/>
  <c r="D12" i="3"/>
  <c r="N4" i="3"/>
  <c r="D8" i="3"/>
  <c r="N12" i="3"/>
  <c r="L8" i="3"/>
  <c r="H11" i="3"/>
  <c r="L6" i="3"/>
  <c r="N11" i="3"/>
  <c r="L7" i="3"/>
  <c r="L5" i="3"/>
  <c r="P12" i="3"/>
  <c r="F7" i="3"/>
  <c r="J12" i="3"/>
  <c r="H8" i="3"/>
  <c r="P6" i="3"/>
  <c r="L4" i="3"/>
  <c r="J11" i="3"/>
  <c r="H7" i="3"/>
  <c r="M33" i="3"/>
  <c r="H15" i="12" l="1"/>
  <c r="D5" i="12"/>
  <c r="H15" i="10"/>
  <c r="D5" i="10"/>
  <c r="C34" i="9"/>
  <c r="G8" i="4"/>
  <c r="I8" i="4"/>
  <c r="H8" i="4"/>
  <c r="G3" i="4"/>
  <c r="D3" i="4"/>
  <c r="E15" i="4"/>
  <c r="E14" i="4"/>
  <c r="E13" i="4"/>
  <c r="E12" i="4"/>
  <c r="E11" i="4"/>
  <c r="E10" i="4"/>
  <c r="E9" i="4"/>
  <c r="B26" i="3"/>
  <c r="B25" i="3"/>
  <c r="F8" i="4"/>
  <c r="E8" i="4"/>
  <c r="J6" i="3"/>
  <c r="H6" i="3"/>
  <c r="F6" i="3"/>
  <c r="D6" i="3"/>
  <c r="J5" i="3"/>
  <c r="H5" i="3"/>
  <c r="F5" i="3"/>
  <c r="D5" i="3"/>
  <c r="J4" i="3"/>
  <c r="H4" i="3"/>
  <c r="F4" i="3"/>
  <c r="D4" i="3"/>
  <c r="O3" i="3"/>
  <c r="M3" i="3"/>
  <c r="K3" i="3"/>
  <c r="I3" i="3"/>
  <c r="G3" i="3"/>
  <c r="E3" i="3"/>
  <c r="C3" i="3"/>
  <c r="C25" i="2"/>
  <c r="D25" i="2" s="1"/>
  <c r="C24" i="2"/>
  <c r="D24" i="2" s="1"/>
  <c r="C23" i="2"/>
  <c r="D23" i="2" s="1"/>
  <c r="H9" i="4" l="1"/>
  <c r="C26" i="2"/>
  <c r="C26" i="3" l="1"/>
  <c r="E26" i="3" s="1"/>
  <c r="G26" i="3" s="1"/>
  <c r="I26" i="3" s="1"/>
  <c r="K26" i="3" s="1"/>
  <c r="M26" i="3" s="1"/>
  <c r="O26" i="3" s="1"/>
  <c r="D26" i="2"/>
  <c r="H10" i="4"/>
  <c r="F15" i="14" l="1"/>
  <c r="F20" i="14" s="1"/>
  <c r="D15" i="14"/>
  <c r="D20" i="14" s="1"/>
  <c r="C24" i="14" s="1"/>
  <c r="C16" i="14" s="1"/>
  <c r="P15" i="14"/>
  <c r="P20" i="14" s="1"/>
  <c r="N15" i="14"/>
  <c r="N20" i="14" s="1"/>
  <c r="J15" i="14"/>
  <c r="J20" i="14" s="1"/>
  <c r="L15" i="14"/>
  <c r="L20" i="14" s="1"/>
  <c r="H15" i="14"/>
  <c r="H20" i="14" s="1"/>
  <c r="F15" i="11"/>
  <c r="F20" i="11" s="1"/>
  <c r="H15" i="11"/>
  <c r="H20" i="11" s="1"/>
  <c r="D15" i="11"/>
  <c r="D20" i="11" s="1"/>
  <c r="L15" i="11"/>
  <c r="L20" i="11" s="1"/>
  <c r="P15" i="11"/>
  <c r="P20" i="11" s="1"/>
  <c r="N15" i="11"/>
  <c r="N20" i="11" s="1"/>
  <c r="J15" i="11"/>
  <c r="J20" i="11" s="1"/>
  <c r="D15" i="9"/>
  <c r="D20" i="9" s="1"/>
  <c r="P15" i="9"/>
  <c r="P20" i="9" s="1"/>
  <c r="N15" i="9"/>
  <c r="N20" i="9" s="1"/>
  <c r="H15" i="9"/>
  <c r="H20" i="9" s="1"/>
  <c r="L15" i="9"/>
  <c r="L20" i="9" s="1"/>
  <c r="F15" i="9"/>
  <c r="F20" i="9" s="1"/>
  <c r="J15" i="9"/>
  <c r="J20" i="9" s="1"/>
  <c r="L15" i="3"/>
  <c r="J15" i="3"/>
  <c r="H15" i="3"/>
  <c r="F15" i="3"/>
  <c r="D15" i="3"/>
  <c r="P15" i="3"/>
  <c r="N15" i="3"/>
  <c r="I9" i="4"/>
  <c r="I10" i="4"/>
  <c r="H11" i="4"/>
  <c r="E20" i="14" l="1"/>
  <c r="D10" i="15" s="1"/>
  <c r="F21" i="14"/>
  <c r="E21" i="14"/>
  <c r="G20" i="14"/>
  <c r="D11" i="15" s="1"/>
  <c r="H21" i="14"/>
  <c r="G21" i="14"/>
  <c r="K21" i="14"/>
  <c r="K20" i="14"/>
  <c r="D13" i="15" s="1"/>
  <c r="L21" i="14"/>
  <c r="I21" i="14"/>
  <c r="I20" i="14"/>
  <c r="D12" i="15" s="1"/>
  <c r="J21" i="14"/>
  <c r="O20" i="14"/>
  <c r="D15" i="15" s="1"/>
  <c r="P21" i="14"/>
  <c r="O21" i="14"/>
  <c r="M20" i="14"/>
  <c r="D14" i="15" s="1"/>
  <c r="N21" i="14"/>
  <c r="M21" i="14"/>
  <c r="C20" i="14"/>
  <c r="D9" i="15" s="1"/>
  <c r="C21" i="14"/>
  <c r="D21" i="14"/>
  <c r="I21" i="11"/>
  <c r="I20" i="11"/>
  <c r="D12" i="12" s="1"/>
  <c r="J21" i="11"/>
  <c r="M20" i="11"/>
  <c r="D14" i="12" s="1"/>
  <c r="N21" i="11"/>
  <c r="M21" i="11"/>
  <c r="O20" i="11"/>
  <c r="D15" i="12" s="1"/>
  <c r="P21" i="11"/>
  <c r="O21" i="11"/>
  <c r="K20" i="11"/>
  <c r="D13" i="12" s="1"/>
  <c r="L21" i="11"/>
  <c r="K21" i="11"/>
  <c r="C24" i="11"/>
  <c r="E24" i="11" s="1"/>
  <c r="G24" i="11" s="1"/>
  <c r="D21" i="11"/>
  <c r="C20" i="11"/>
  <c r="D9" i="12" s="1"/>
  <c r="C21" i="11"/>
  <c r="G20" i="11"/>
  <c r="D11" i="12" s="1"/>
  <c r="H21" i="11"/>
  <c r="G21" i="11"/>
  <c r="E20" i="11"/>
  <c r="D10" i="12" s="1"/>
  <c r="F21" i="11"/>
  <c r="E21" i="11"/>
  <c r="E20" i="9"/>
  <c r="D10" i="10" s="1"/>
  <c r="F21" i="9"/>
  <c r="E21" i="9"/>
  <c r="I20" i="9"/>
  <c r="D12" i="10" s="1"/>
  <c r="J21" i="9"/>
  <c r="I21" i="9"/>
  <c r="K20" i="9"/>
  <c r="D13" i="10" s="1"/>
  <c r="L21" i="9"/>
  <c r="K21" i="9"/>
  <c r="H21" i="9"/>
  <c r="G21" i="9"/>
  <c r="G20" i="9"/>
  <c r="D11" i="10" s="1"/>
  <c r="M20" i="9"/>
  <c r="D14" i="10" s="1"/>
  <c r="N21" i="9"/>
  <c r="M21" i="9"/>
  <c r="P21" i="9"/>
  <c r="O21" i="9"/>
  <c r="O20" i="9"/>
  <c r="D15" i="10" s="1"/>
  <c r="C24" i="9"/>
  <c r="C20" i="9"/>
  <c r="D9" i="10" s="1"/>
  <c r="D21" i="9"/>
  <c r="C21" i="9"/>
  <c r="I11" i="4"/>
  <c r="H12" i="4"/>
  <c r="E24" i="14" l="1"/>
  <c r="E16" i="14" s="1"/>
  <c r="G9" i="15"/>
  <c r="D24" i="14"/>
  <c r="G16" i="11"/>
  <c r="G11" i="12" s="1"/>
  <c r="H24" i="11"/>
  <c r="I24" i="11"/>
  <c r="D24" i="11"/>
  <c r="C16" i="11"/>
  <c r="G9" i="12" s="1"/>
  <c r="E16" i="11"/>
  <c r="G10" i="12" s="1"/>
  <c r="F24" i="11"/>
  <c r="C16" i="9"/>
  <c r="G9" i="10" s="1"/>
  <c r="D24" i="9"/>
  <c r="E24" i="9"/>
  <c r="I12" i="4"/>
  <c r="H13" i="4"/>
  <c r="G10" i="15" l="1"/>
  <c r="G24" i="14"/>
  <c r="G16" i="14" s="1"/>
  <c r="G11" i="15" s="1"/>
  <c r="F24" i="14"/>
  <c r="J24" i="11"/>
  <c r="I16" i="11"/>
  <c r="G12" i="12" s="1"/>
  <c r="K24" i="11"/>
  <c r="E16" i="9"/>
  <c r="G10" i="10" s="1"/>
  <c r="F24" i="9"/>
  <c r="G24" i="9"/>
  <c r="I13" i="4"/>
  <c r="I24" i="14" l="1"/>
  <c r="J24" i="14" s="1"/>
  <c r="H24" i="14"/>
  <c r="L24" i="11"/>
  <c r="K16" i="11"/>
  <c r="G13" i="12" s="1"/>
  <c r="M24" i="11"/>
  <c r="H24" i="9"/>
  <c r="G16" i="9"/>
  <c r="G11" i="10" s="1"/>
  <c r="I24" i="9"/>
  <c r="H14" i="4"/>
  <c r="I14" i="4"/>
  <c r="I16" i="14" l="1"/>
  <c r="G12" i="15" s="1"/>
  <c r="K24" i="14"/>
  <c r="L24" i="14" s="1"/>
  <c r="N24" i="11"/>
  <c r="M16" i="11"/>
  <c r="G14" i="12" s="1"/>
  <c r="O24" i="11"/>
  <c r="J24" i="9"/>
  <c r="I16" i="9"/>
  <c r="G12" i="10" s="1"/>
  <c r="K24" i="9"/>
  <c r="D5" i="4"/>
  <c r="H15" i="4"/>
  <c r="I15" i="4"/>
  <c r="K16" i="14" l="1"/>
  <c r="G13" i="15" s="1"/>
  <c r="M24" i="14"/>
  <c r="M16" i="14" s="1"/>
  <c r="G14" i="15" s="1"/>
  <c r="P24" i="11"/>
  <c r="O16" i="11"/>
  <c r="G15" i="12" s="1"/>
  <c r="L24" i="9"/>
  <c r="K16" i="9"/>
  <c r="G13" i="10" s="1"/>
  <c r="M24" i="9"/>
  <c r="G5" i="4"/>
  <c r="C34" i="3"/>
  <c r="O24" i="14" l="1"/>
  <c r="N24" i="14"/>
  <c r="N24" i="9"/>
  <c r="M16" i="9"/>
  <c r="G14" i="10" s="1"/>
  <c r="O24" i="9"/>
  <c r="O16" i="9" s="1"/>
  <c r="F9" i="4"/>
  <c r="F10" i="4"/>
  <c r="F11" i="4"/>
  <c r="F12" i="4"/>
  <c r="F13" i="4"/>
  <c r="F14" i="4"/>
  <c r="F15" i="4"/>
  <c r="P24" i="14" l="1"/>
  <c r="O16" i="14"/>
  <c r="G15" i="15" s="1"/>
  <c r="P24" i="9"/>
  <c r="G15" i="10"/>
  <c r="F20" i="3"/>
  <c r="H20" i="3"/>
  <c r="D20" i="3"/>
  <c r="P20" i="3"/>
  <c r="N20" i="3"/>
  <c r="L20" i="3"/>
  <c r="J20" i="3"/>
  <c r="I20" i="3" l="1"/>
  <c r="D12" i="4" s="1"/>
  <c r="J21" i="3"/>
  <c r="I21" i="3"/>
  <c r="D21" i="3"/>
  <c r="C20" i="3"/>
  <c r="D9" i="4" s="1"/>
  <c r="C21" i="3"/>
  <c r="C24" i="3"/>
  <c r="M20" i="3"/>
  <c r="D14" i="4" s="1"/>
  <c r="M21" i="3"/>
  <c r="N21" i="3"/>
  <c r="G20" i="3"/>
  <c r="D11" i="4" s="1"/>
  <c r="H21" i="3"/>
  <c r="G21" i="3"/>
  <c r="K21" i="3"/>
  <c r="K20" i="3"/>
  <c r="D13" i="4" s="1"/>
  <c r="L21" i="3"/>
  <c r="P21" i="3"/>
  <c r="O21" i="3"/>
  <c r="O20" i="3"/>
  <c r="D15" i="4" s="1"/>
  <c r="E21" i="3"/>
  <c r="F21" i="3"/>
  <c r="E20" i="3"/>
  <c r="D10" i="4" s="1"/>
  <c r="D24" i="3" l="1"/>
  <c r="C16" i="3"/>
  <c r="G9" i="4" s="1"/>
  <c r="E24" i="3"/>
  <c r="E16" i="3" l="1"/>
  <c r="G10" i="4" s="1"/>
  <c r="F24" i="3"/>
  <c r="G24" i="3"/>
  <c r="G16" i="3" l="1"/>
  <c r="G11" i="4" s="1"/>
  <c r="H24" i="3"/>
  <c r="I24" i="3"/>
  <c r="I16" i="3" l="1"/>
  <c r="G12" i="4" s="1"/>
  <c r="J24" i="3"/>
  <c r="K24" i="3"/>
  <c r="K16" i="3" l="1"/>
  <c r="G13" i="4" s="1"/>
  <c r="L24" i="3"/>
  <c r="M24" i="3"/>
  <c r="M16" i="3" l="1"/>
  <c r="G14" i="4" s="1"/>
  <c r="N24" i="3"/>
  <c r="O24" i="3"/>
  <c r="O16" i="3" l="1"/>
  <c r="G15" i="4" s="1"/>
  <c r="P24" i="3"/>
</calcChain>
</file>

<file path=xl/sharedStrings.xml><?xml version="1.0" encoding="utf-8"?>
<sst xmlns="http://schemas.openxmlformats.org/spreadsheetml/2006/main" count="494" uniqueCount="240">
  <si>
    <t>翡翠</t>
  </si>
  <si>
    <t>合计</t>
  </si>
  <si>
    <t>抽奖道具</t>
  </si>
  <si>
    <t>普通兑换道具</t>
  </si>
  <si>
    <t>数量</t>
  </si>
  <si>
    <t>概率</t>
  </si>
  <si>
    <t>积分</t>
  </si>
  <si>
    <t>高级兑换道具</t>
  </si>
  <si>
    <t>档位</t>
  </si>
  <si>
    <t>累积积分</t>
  </si>
  <si>
    <t>累积随机箱</t>
  </si>
  <si>
    <t>第1档</t>
  </si>
  <si>
    <t>第2档</t>
  </si>
  <si>
    <t>第3档</t>
  </si>
  <si>
    <t>第4档</t>
  </si>
  <si>
    <t>第5档</t>
  </si>
  <si>
    <t>积分规则</t>
  </si>
  <si>
    <t>钻石购买</t>
  </si>
  <si>
    <t>钻石</t>
  </si>
  <si>
    <t>限购=</t>
  </si>
  <si>
    <t>个/天</t>
  </si>
  <si>
    <t>随机箱</t>
  </si>
  <si>
    <t>平均(个)</t>
  </si>
  <si>
    <t>积分（分）</t>
  </si>
  <si>
    <t>价格（RMB）</t>
  </si>
  <si>
    <t>第1天</t>
  </si>
  <si>
    <t>第2天</t>
  </si>
  <si>
    <t>第3天</t>
  </si>
  <si>
    <t>第4天</t>
  </si>
  <si>
    <t>第5天</t>
  </si>
  <si>
    <t>第6天</t>
  </si>
  <si>
    <t>第7天</t>
  </si>
  <si>
    <t>每日任务</t>
  </si>
  <si>
    <t>使用随机箱</t>
  </si>
  <si>
    <t>剩余随机箱</t>
  </si>
  <si>
    <t>天数</t>
  </si>
  <si>
    <t>Day1</t>
    <phoneticPr fontId="20" type="noConversion"/>
  </si>
  <si>
    <t>Day2</t>
    <phoneticPr fontId="20" type="noConversion"/>
  </si>
  <si>
    <t>Day3</t>
    <phoneticPr fontId="20" type="noConversion"/>
  </si>
  <si>
    <t>Day4</t>
    <phoneticPr fontId="20" type="noConversion"/>
  </si>
  <si>
    <t>Day5</t>
    <phoneticPr fontId="20" type="noConversion"/>
  </si>
  <si>
    <t>Day6</t>
    <phoneticPr fontId="20" type="noConversion"/>
  </si>
  <si>
    <t>Day7</t>
    <phoneticPr fontId="20" type="noConversion"/>
  </si>
  <si>
    <t>风险提示</t>
    <phoneticPr fontId="20" type="noConversion"/>
  </si>
  <si>
    <t>今天只做这些</t>
    <phoneticPr fontId="20" type="noConversion"/>
  </si>
  <si>
    <t>预算</t>
    <phoneticPr fontId="20" type="noConversion"/>
  </si>
  <si>
    <t>总体策略</t>
    <phoneticPr fontId="20" type="noConversion"/>
  </si>
  <si>
    <t>氪金RMB</t>
    <phoneticPr fontId="20" type="noConversion"/>
  </si>
  <si>
    <t>氪金翡翠</t>
    <phoneticPr fontId="20" type="noConversion"/>
  </si>
  <si>
    <t>免费基金</t>
    <phoneticPr fontId="20" type="noConversion"/>
  </si>
  <si>
    <t>活动签到</t>
    <phoneticPr fontId="20" type="noConversion"/>
  </si>
  <si>
    <t>氪金礼包</t>
    <phoneticPr fontId="20" type="noConversion"/>
  </si>
  <si>
    <t>氪金基金</t>
    <phoneticPr fontId="20" type="noConversion"/>
  </si>
  <si>
    <t>首次登录</t>
    <phoneticPr fontId="20" type="noConversion"/>
  </si>
  <si>
    <t>？</t>
    <phoneticPr fontId="20" type="noConversion"/>
  </si>
  <si>
    <t>总随机箱</t>
    <phoneticPr fontId="20" type="noConversion"/>
  </si>
  <si>
    <t>目标档位</t>
    <phoneticPr fontId="20" type="noConversion"/>
  </si>
  <si>
    <t>下一档位</t>
    <phoneticPr fontId="20" type="noConversion"/>
  </si>
  <si>
    <t>广告观看</t>
    <phoneticPr fontId="20" type="noConversion"/>
  </si>
  <si>
    <t>橙秘宝自选箱×1</t>
  </si>
  <si>
    <t>限定烙印自选箱×1</t>
  </si>
  <si>
    <t>S史诗传承自选箱×1</t>
  </si>
  <si>
    <t>连携祝福卷轴×1</t>
  </si>
  <si>
    <t>置换符×1</t>
  </si>
  <si>
    <t>天外陨铁×10</t>
  </si>
  <si>
    <t>随机英杰箱×1</t>
  </si>
  <si>
    <t>史诗传承自选箱×1</t>
  </si>
  <si>
    <t>传承书自选箱×1</t>
  </si>
  <si>
    <t>随机烙印箱×1</t>
  </si>
  <si>
    <t>装备图纸×20</t>
  </si>
  <si>
    <t>祈愿函×5</t>
  </si>
  <si>
    <t>传说钥匙×5</t>
  </si>
  <si>
    <t>宝石钥匙×5</t>
  </si>
  <si>
    <t>秘宝钥匙×5</t>
  </si>
  <si>
    <t>英杰契约×1</t>
  </si>
  <si>
    <t>消耗内容</t>
  </si>
  <si>
    <t>获得内容</t>
  </si>
  <si>
    <t>限购次数</t>
  </si>
  <si>
    <t>高级兑换</t>
    <phoneticPr fontId="20" type="noConversion"/>
  </si>
  <si>
    <t>普通兑换</t>
    <phoneticPr fontId="20" type="noConversion"/>
  </si>
  <si>
    <t>卡皮筹码×5</t>
  </si>
  <si>
    <t>主线第150章生存1天；开服179天</t>
  </si>
  <si>
    <t>精力×10</t>
  </si>
  <si>
    <t>限制条件</t>
    <phoneticPr fontId="20" type="noConversion"/>
  </si>
  <si>
    <t>公式</t>
    <phoneticPr fontId="20" type="noConversion"/>
  </si>
  <si>
    <t>结果</t>
    <phoneticPr fontId="20" type="noConversion"/>
  </si>
  <si>
    <t>项目</t>
    <phoneticPr fontId="20" type="noConversion"/>
  </si>
  <si>
    <t>抽奖期望统计（各项目/1抽奖币）</t>
    <phoneticPr fontId="20" type="noConversion"/>
  </si>
  <si>
    <t>.</t>
    <phoneticPr fontId="20" type="noConversion"/>
  </si>
  <si>
    <t>鱼饵</t>
    <phoneticPr fontId="20" type="noConversion"/>
  </si>
  <si>
    <t>钓鱼积分</t>
    <phoneticPr fontId="20" type="noConversion"/>
  </si>
  <si>
    <t>鱼王之证</t>
    <phoneticPr fontId="20" type="noConversion"/>
  </si>
  <si>
    <t>鱼饵×1</t>
  </si>
  <si>
    <t>宠物蛋×120</t>
  </si>
  <si>
    <t>宠物粮×2000</t>
  </si>
  <si>
    <t>天外陨铁×40</t>
  </si>
  <si>
    <t>鱼饵×5</t>
  </si>
  <si>
    <t>累计垂钓重量75kg</t>
  </si>
  <si>
    <t>金钥匙×10</t>
  </si>
  <si>
    <t>黄金宝箱×2</t>
  </si>
  <si>
    <t>累计垂钓重量230kg</t>
  </si>
  <si>
    <t>金蹄铁×100</t>
  </si>
  <si>
    <t>宠物宝箱×1</t>
  </si>
  <si>
    <t>龙巢挑战券×2</t>
  </si>
  <si>
    <t>累计垂钓重量500kg</t>
  </si>
  <si>
    <t>SS+S武器至宝自选箱×1</t>
  </si>
  <si>
    <t>SS+S装备至宝自选箱×1</t>
  </si>
  <si>
    <t>累计垂钓重量500kg；主线第150章生存1天；开服179天</t>
  </si>
  <si>
    <t>臻选皮肤自选箱×1</t>
  </si>
  <si>
    <t>不变石×10</t>
  </si>
  <si>
    <t>幸运银币×5</t>
  </si>
  <si>
    <t>紫晶宝箱×1</t>
  </si>
  <si>
    <t>家园币×50</t>
  </si>
  <si>
    <t>鱼饵×10</t>
  </si>
  <si>
    <t>钓鱼积分×1500</t>
  </si>
  <si>
    <t>钓鱼积分×1200</t>
  </si>
  <si>
    <t>钓鱼积分×1000</t>
  </si>
  <si>
    <t>钓鱼积分×200</t>
  </si>
  <si>
    <t>钓鱼积分×3000</t>
  </si>
  <si>
    <t>钓鱼积分×2400</t>
  </si>
  <si>
    <t>钓鱼积分×1400</t>
  </si>
  <si>
    <t>钓鱼积分×400</t>
  </si>
  <si>
    <t>钓鱼积分×4800</t>
  </si>
  <si>
    <t>钓鱼积分×2000</t>
  </si>
  <si>
    <t>钓鱼积分×1800</t>
  </si>
  <si>
    <t>钓鱼积分×800</t>
  </si>
  <si>
    <t>钓鱼积分×600</t>
  </si>
  <si>
    <t>钓鱼积分×100000</t>
  </si>
  <si>
    <t>钓鱼积分×75000</t>
  </si>
  <si>
    <t>钓鱼积分×60000</t>
  </si>
  <si>
    <t>钓鱼积分×50000</t>
  </si>
  <si>
    <t>钓鱼积分×30000</t>
  </si>
  <si>
    <t>钓鱼积分×20000</t>
  </si>
  <si>
    <t>钓鱼积分×15000</t>
  </si>
  <si>
    <t>钓鱼积分×10000</t>
  </si>
  <si>
    <t>钓鱼积分×9000</t>
  </si>
  <si>
    <t>钓鱼积分×6400</t>
  </si>
  <si>
    <t>钓鱼积分×5200</t>
  </si>
  <si>
    <t>钓鱼积分×5000</t>
  </si>
  <si>
    <t>钓鱼积分×3200</t>
  </si>
  <si>
    <t>春兰×1</t>
  </si>
  <si>
    <t>宠物苏苏×10</t>
  </si>
  <si>
    <t>天外陨铁×50</t>
  </si>
  <si>
    <t>无限制</t>
  </si>
  <si>
    <t>鱼王之证×60</t>
  </si>
  <si>
    <t>鱼王之证×30</t>
  </si>
  <si>
    <t>鱼王之证×20</t>
  </si>
  <si>
    <t>鱼王之证×12</t>
  </si>
  <si>
    <t>鱼王之证×8</t>
  </si>
  <si>
    <t>鱼王之证×5</t>
  </si>
  <si>
    <t>鱼王之证×1</t>
  </si>
  <si>
    <t>垂钓盛典｜5.6万钻攻略</t>
    <phoneticPr fontId="20" type="noConversion"/>
  </si>
  <si>
    <t>白面弄鱼</t>
  </si>
  <si>
    <t>海猎犬</t>
  </si>
  <si>
    <t>旗鱼</t>
  </si>
  <si>
    <t>蝾螈</t>
  </si>
  <si>
    <t>档位积分</t>
    <phoneticPr fontId="20" type="noConversion"/>
  </si>
  <si>
    <t>0.025*10</t>
    <phoneticPr fontId="20" type="noConversion"/>
  </si>
  <si>
    <t>钓场id</t>
  </si>
  <si>
    <t>解锁重量</t>
    <phoneticPr fontId="26" type="noConversion"/>
  </si>
  <si>
    <t>鱼</t>
    <phoneticPr fontId="26" type="noConversion"/>
  </si>
  <si>
    <t>钓上概率</t>
  </si>
  <si>
    <t>初始积分</t>
    <phoneticPr fontId="26" type="noConversion"/>
  </si>
  <si>
    <t>波动范围(%)</t>
    <phoneticPr fontId="26" type="noConversion"/>
  </si>
  <si>
    <t>区域平均积分</t>
    <phoneticPr fontId="26" type="noConversion"/>
  </si>
  <si>
    <t>初始重量(KG)</t>
    <phoneticPr fontId="26" type="noConversion"/>
  </si>
  <si>
    <t>区域平均重量</t>
    <phoneticPr fontId="26" type="noConversion"/>
  </si>
  <si>
    <t>前往下一区域次数</t>
    <phoneticPr fontId="26" type="noConversion"/>
  </si>
  <si>
    <t>前往下一区域累积积分</t>
    <phoneticPr fontId="26" type="noConversion"/>
  </si>
  <si>
    <t>魔鬼鱼</t>
  </si>
  <si>
    <t>[75, 125]</t>
  </si>
  <si>
    <t>纵带羊鱼</t>
  </si>
  <si>
    <t>大梭鱼</t>
  </si>
  <si>
    <t>天竺鲷</t>
  </si>
  <si>
    <t>安康鱼</t>
  </si>
  <si>
    <t>稻田鱼</t>
  </si>
  <si>
    <t>翻车鱼</t>
  </si>
  <si>
    <t>骨舌鱼</t>
  </si>
  <si>
    <t>海胆</t>
  </si>
  <si>
    <t>海螺</t>
  </si>
  <si>
    <t>海天使</t>
  </si>
  <si>
    <t>海兔</t>
  </si>
  <si>
    <t>海鳗</t>
  </si>
  <si>
    <t>龙虾</t>
  </si>
  <si>
    <t>热带鱼</t>
  </si>
  <si>
    <t>西星斑</t>
  </si>
  <si>
    <t>鲟鱼</t>
  </si>
  <si>
    <t>荆棘鱼</t>
  </si>
  <si>
    <t>河豚</t>
  </si>
  <si>
    <t>鬼头刀</t>
  </si>
  <si>
    <t>断线×1</t>
  </si>
  <si>
    <t>断线×5</t>
  </si>
  <si>
    <t>断线换鱼饵</t>
    <phoneticPr fontId="20" type="noConversion"/>
  </si>
  <si>
    <t>？</t>
    <phoneticPr fontId="20" type="noConversion"/>
  </si>
  <si>
    <t>积分兑换</t>
    <phoneticPr fontId="20" type="noConversion"/>
  </si>
  <si>
    <t>钓鱼积分×100000</t>
    <phoneticPr fontId="20" type="noConversion"/>
  </si>
  <si>
    <t>总使用鱼饵</t>
    <phoneticPr fontId="20" type="noConversion"/>
  </si>
  <si>
    <t>需要鱼饵</t>
    <phoneticPr fontId="20" type="noConversion"/>
  </si>
  <si>
    <t>实际价值</t>
    <phoneticPr fontId="20" type="noConversion"/>
  </si>
  <si>
    <t>需要钻石</t>
    <phoneticPr fontId="20" type="noConversion"/>
  </si>
  <si>
    <t>SS+S武器至宝自选箱×1</t>
    <phoneticPr fontId="20" type="noConversion"/>
  </si>
  <si>
    <t>SS+S装备至宝自选箱×1</t>
    <phoneticPr fontId="20" type="noConversion"/>
  </si>
  <si>
    <t>SS限定烙印自选箱×1</t>
    <phoneticPr fontId="20" type="noConversion"/>
  </si>
  <si>
    <t>万能英杰碎片×120</t>
    <phoneticPr fontId="20" type="noConversion"/>
  </si>
  <si>
    <r>
      <t xml:space="preserve">可兑换： SS武器至宝自选箱×1 + SS装备至宝自选箱×1 + </t>
    </r>
    <r>
      <rPr>
        <b/>
        <sz val="12"/>
        <color rgb="FFFF0000"/>
        <rFont val="微软雅黑"/>
        <family val="2"/>
        <charset val="134"/>
      </rPr>
      <t>SS限定烙印自选箱×1 + 万能英杰碎片×120</t>
    </r>
    <phoneticPr fontId="20" type="noConversion"/>
  </si>
  <si>
    <t>觉醒核心自选箱×1</t>
    <phoneticPr fontId="20" type="noConversion"/>
  </si>
  <si>
    <t>① 进活动页面送5鱼饵
② 任务40鱼饵+钻石购买80鱼饵
③ 用约40鱼饵钓上1条鱼王</t>
    <phoneticPr fontId="20" type="noConversion"/>
  </si>
  <si>
    <t>① 任务40鱼饵+钻石购买80鱼饵
② 用约120鱼饵钓上3条鱼王</t>
    <phoneticPr fontId="20" type="noConversion"/>
  </si>
  <si>
    <t>冲档日</t>
    <phoneticPr fontId="20" type="noConversion"/>
  </si>
  <si>
    <t>① 任务40鱼饵+钻石购买80鱼饵
② 基金领25鱼饵+商店积分换60鱼饵
③ 用约290鱼饵(用完)得7条鱼王</t>
    <phoneticPr fontId="20" type="noConversion"/>
  </si>
  <si>
    <t>① 任务40鱼饵+钻石购买80鱼饵
② 商店积分换70鱼饵
③ 用约190鱼饵(用完)得4条鱼王
④ 开约7个随机箱冲第3档</t>
    <phoneticPr fontId="20" type="noConversion"/>
  </si>
  <si>
    <t>① 任务40鱼饵+钻石购买80鱼饵
② 商店积分换70鱼饵
③ 用约190鱼饵(用完)得4条鱼王
④ 开约7个随机箱冲第3档</t>
    <phoneticPr fontId="20" type="noConversion"/>
  </si>
  <si>
    <t>① 任务40鱼饵+钻石购买80鱼饵
② 用约120鱼饵(用完)得3条鱼王
③ 开掉全部随机箱</t>
    <phoneticPr fontId="20" type="noConversion"/>
  </si>
  <si>
    <t>累计垂钓重量500kg；主线第150章生存1天；开服179天</t>
    <phoneticPr fontId="20" type="noConversion"/>
  </si>
  <si>
    <t>56000钻石+1000翡翠</t>
    <phoneticPr fontId="20" type="noConversion"/>
  </si>
  <si>
    <t>灰烬始祖龙×1</t>
    <phoneticPr fontId="20" type="noConversion"/>
  </si>
  <si>
    <r>
      <t xml:space="preserve">可兑换： 灰烬始祖龙×1 +SS武器至宝自选箱×1 + SS装备至宝自选箱×1 + </t>
    </r>
    <r>
      <rPr>
        <b/>
        <sz val="12"/>
        <color rgb="FFFF0000"/>
        <rFont val="微软雅黑"/>
        <family val="2"/>
        <charset val="134"/>
      </rPr>
      <t>SS限定烙印自选箱×1</t>
    </r>
    <phoneticPr fontId="20" type="noConversion"/>
  </si>
  <si>
    <t>① 任务40鱼饵+钻石购买80鱼饵
② 用约120鱼饵(用完)得3条鱼王
③ 领取氪金基金开掉全部随机箱</t>
    <phoneticPr fontId="20" type="noConversion"/>
  </si>
  <si>
    <t>垂钓盛典｜1000翡翠灰烬龙攻略</t>
    <phoneticPr fontId="20" type="noConversion"/>
  </si>
  <si>
    <t>这次断线兑换的鱼饵不计入积分，不过仍可以看情况断线看看有没有鱼王
冲三次第3档的时候，如果运气不好可以开1~2个随机箱补一下积分
 灰烬始祖龙和SS限定烙印自选箱都有兑换限制：主线第150章生存1天且开服179天</t>
    <phoneticPr fontId="20" type="noConversion"/>
  </si>
  <si>
    <t>这次断线兑换的鱼饵不计入积分，不过仍可以看情况断线看看有没有鱼王
冲三次第3档的时候，如果运气不好可以开1~2个随机箱补一下积分
SS限定烙印自选箱有兑换限制：需要主线第150章生存1天且开服179天</t>
    <phoneticPr fontId="20" type="noConversion"/>
  </si>
  <si>
    <t>可兑换： SS武器至宝自选箱×1 + SS装备至宝自选箱×1 + 万能英杰碎片×120</t>
    <phoneticPr fontId="20" type="noConversion"/>
  </si>
  <si>
    <t>① 任务40鱼饵+钻石购买80鱼饵
② 用205鱼饵钓约4条鱼王
③ 商店积分换60鱼饵后再钓60鱼饵
④ 基金领25鱼饵</t>
    <phoneticPr fontId="20" type="noConversion"/>
  </si>
  <si>
    <t>① 任务40鱼饵
② 商店积分换140鱼饵
③ 用约373鱼饵+开全部随机箱</t>
    <phoneticPr fontId="20" type="noConversion"/>
  </si>
  <si>
    <t>钓鱼积分只够换两个至宝，运气好鱼王之证刚好30个可以换万能英杰碎片
如果积分不够200000可以最后一天再买鱼饵补一下</t>
    <phoneticPr fontId="20" type="noConversion"/>
  </si>
  <si>
    <t>① 任务40鱼饵</t>
    <phoneticPr fontId="20" type="noConversion"/>
  </si>
  <si>
    <t>垂钓盛典｜1.6万钻2至宝攻略</t>
    <phoneticPr fontId="20" type="noConversion"/>
  </si>
  <si>
    <t>鱼王礼包</t>
    <phoneticPr fontId="20" type="noConversion"/>
  </si>
  <si>
    <t>56000钻石+10500翡翠</t>
    <phoneticPr fontId="20" type="noConversion"/>
  </si>
  <si>
    <t>氪金日</t>
    <phoneticPr fontId="20" type="noConversion"/>
  </si>
  <si>
    <r>
      <rPr>
        <b/>
        <sz val="9"/>
        <color rgb="FF29415C"/>
        <rFont val="微软雅黑"/>
        <family val="2"/>
        <charset val="134"/>
      </rPr>
      <t>① 任务40鱼饵+钻石购买80鱼饵</t>
    </r>
    <r>
      <rPr>
        <sz val="9"/>
        <color rgb="FF29415C"/>
        <rFont val="微软雅黑"/>
        <family val="2"/>
        <charset val="134"/>
      </rPr>
      <t xml:space="preserve">
② 用约120鱼饵钓上3条鱼王
③ 不够2档可以补开1随机箱</t>
    </r>
    <phoneticPr fontId="20" type="noConversion"/>
  </si>
  <si>
    <r>
      <rPr>
        <b/>
        <sz val="9"/>
        <color rgb="FF29415C"/>
        <rFont val="微软雅黑"/>
        <family val="2"/>
        <charset val="134"/>
      </rPr>
      <t>① 任务40鱼饵+钻石购买80鱼饵</t>
    </r>
    <r>
      <rPr>
        <sz val="9"/>
        <color rgb="FF29415C"/>
        <rFont val="微软雅黑"/>
        <family val="2"/>
        <charset val="134"/>
      </rPr>
      <t xml:space="preserve">
② 用约120鱼饵钓上3条鱼王
③ 用掉全部随机箱</t>
    </r>
    <phoneticPr fontId="20" type="noConversion"/>
  </si>
  <si>
    <t>“高级卷轴礼包”应该是名字弄错了，实际上就是直接买6个鱼王之证</t>
    <phoneticPr fontId="20" type="noConversion"/>
  </si>
  <si>
    <t>垂钓盛典｜120鱼王攻略</t>
    <phoneticPr fontId="20" type="noConversion"/>
  </si>
  <si>
    <t>收尾日</t>
    <phoneticPr fontId="20" type="noConversion"/>
  </si>
  <si>
    <t>① 登录5鱼饵+任务40鱼饵+钻石购买80鱼饵
② 氪金捕鱼达人，鱼饵礼包 1、2、3，基金，高级卷轴礼包Ⅰ买2次
③ 用475个鱼饵后商店兑换200鱼饵
④ 领取基金25鱼饵+15随机箱
⑤ 继续用掉225鱼饵+开41随机箱冲第5档</t>
    <phoneticPr fontId="20" type="noConversion"/>
  </si>
  <si>
    <t>超越万能神器核心碎片×30</t>
    <phoneticPr fontId="20" type="noConversion"/>
  </si>
  <si>
    <t xml:space="preserve">可兑换： 灰烬始祖龙×1 +超越万能神器核心碎片×30+SS武器至宝自选箱×1 + SS装备至宝自选箱×1 </t>
    <phoneticPr fontId="20" type="noConversion"/>
  </si>
  <si>
    <t>当日档位积分</t>
  </si>
  <si>
    <t>特殊日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</si>
</sst>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%"/>
    <numFmt numFmtId="177" formatCode="0.0"/>
    <numFmt numFmtId="178" formatCode="0.000"/>
  </numFmts>
  <fonts count="28">
    <font>
      <sz val="11"/>
      <color theme="1"/>
      <name val="等线"/>
    </font>
    <font>
      <sz val="11"/>
      <color theme="1"/>
      <name val="微软雅黑"/>
      <family val="2"/>
      <charset val="134"/>
    </font>
    <font>
      <b/>
      <sz val="16"/>
      <color theme="1"/>
      <name val="微软雅黑"/>
      <family val="2"/>
      <charset val="134"/>
    </font>
    <font>
      <sz val="11"/>
      <color theme="0"/>
      <name val="微软雅黑"/>
      <family val="2"/>
      <charset val="134"/>
    </font>
    <font>
      <sz val="16"/>
      <color theme="1"/>
      <name val="微软雅黑"/>
      <family val="2"/>
      <charset val="134"/>
    </font>
    <font>
      <sz val="20"/>
      <color theme="0"/>
      <name val="微软雅黑"/>
      <family val="2"/>
      <charset val="134"/>
    </font>
    <font>
      <sz val="11"/>
      <color theme="1"/>
      <name val="等线"/>
      <family val="3"/>
      <charset val="134"/>
    </font>
    <font>
      <sz val="12"/>
      <color theme="0"/>
      <name val="微软雅黑"/>
      <family val="2"/>
      <charset val="134"/>
    </font>
    <font>
      <sz val="11"/>
      <name val="Carlito"/>
    </font>
    <font>
      <sz val="11"/>
      <name val="微软雅黑"/>
      <family val="2"/>
      <charset val="134"/>
    </font>
    <font>
      <b/>
      <sz val="11"/>
      <color rgb="FFFFFFFF"/>
      <name val="微软雅黑"/>
      <family val="2"/>
      <charset val="134"/>
    </font>
    <font>
      <b/>
      <sz val="10"/>
      <color rgb="FF375623"/>
      <name val="微软雅黑"/>
      <family val="2"/>
      <charset val="134"/>
    </font>
    <font>
      <b/>
      <sz val="14"/>
      <color rgb="FF7030A0"/>
      <name val="微软雅黑"/>
      <family val="2"/>
      <charset val="134"/>
    </font>
    <font>
      <b/>
      <sz val="19"/>
      <color rgb="FFFFFFFF"/>
      <name val="微软雅黑"/>
      <family val="2"/>
      <charset val="134"/>
    </font>
    <font>
      <b/>
      <sz val="14"/>
      <color rgb="FF375623"/>
      <name val="微软雅黑"/>
      <family val="2"/>
      <charset val="134"/>
    </font>
    <font>
      <b/>
      <sz val="10"/>
      <color rgb="FFFFFFFF"/>
      <name val="微软雅黑"/>
      <family val="2"/>
      <charset val="134"/>
    </font>
    <font>
      <sz val="9"/>
      <color rgb="FF29415C"/>
      <name val="微软雅黑"/>
      <family val="2"/>
      <charset val="134"/>
    </font>
    <font>
      <b/>
      <sz val="11"/>
      <color rgb="FF9C5700"/>
      <name val="微软雅黑"/>
      <family val="2"/>
      <charset val="134"/>
    </font>
    <font>
      <b/>
      <sz val="14"/>
      <color rgb="FF9C5700"/>
      <name val="微软雅黑"/>
      <family val="2"/>
      <charset val="134"/>
    </font>
    <font>
      <b/>
      <sz val="9"/>
      <color rgb="FF9C5700"/>
      <name val="微软雅黑"/>
      <family val="2"/>
      <charset val="134"/>
    </font>
    <font>
      <sz val="9"/>
      <name val="宋体"/>
      <family val="3"/>
      <charset val="134"/>
    </font>
    <font>
      <b/>
      <sz val="12"/>
      <name val="微软雅黑"/>
      <family val="2"/>
      <charset val="134"/>
    </font>
    <font>
      <b/>
      <sz val="12"/>
      <color rgb="FFFF0000"/>
      <name val="微软雅黑"/>
      <family val="2"/>
      <charset val="134"/>
    </font>
    <font>
      <b/>
      <sz val="20"/>
      <color rgb="FFFFFFFF"/>
      <name val="微软雅黑"/>
      <family val="2"/>
      <charset val="134"/>
    </font>
    <font>
      <sz val="11"/>
      <color rgb="FF9C0006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9"/>
      <name val="Calibri"/>
      <family val="3"/>
      <charset val="134"/>
      <scheme val="minor"/>
    </font>
    <font>
      <b/>
      <sz val="9"/>
      <color rgb="FF29415C"/>
      <name val="微软雅黑"/>
      <family val="2"/>
      <charset val="134"/>
    </font>
  </fonts>
  <fills count="26">
    <fill>
      <patternFill patternType="none"/>
    </fill>
    <fill>
      <patternFill patternType="gray125"/>
    </fill>
    <fill>
      <patternFill patternType="solid">
        <fgColor theme="9" tint="0.59996337778862885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rgb="FF00B050"/>
      </patternFill>
    </fill>
    <fill>
      <patternFill patternType="solid">
        <fgColor rgb="FF7030A0"/>
      </patternFill>
    </fill>
    <fill>
      <patternFill patternType="solid">
        <fgColor theme="0"/>
      </patternFill>
    </fill>
    <fill>
      <patternFill patternType="solid">
        <fgColor rgb="FFC00000"/>
      </patternFill>
    </fill>
    <fill>
      <patternFill patternType="solid">
        <fgColor theme="5" tint="0.59996337778862885"/>
        <bgColor indexed="65"/>
      </patternFill>
    </fill>
    <fill>
      <patternFill patternType="solid">
        <fgColor rgb="FFFFFF00"/>
      </patternFill>
    </fill>
    <fill>
      <patternFill patternType="solid">
        <fgColor rgb="FFFFC000"/>
      </patternFill>
    </fill>
    <fill>
      <patternFill patternType="solid">
        <fgColor rgb="FF00B0F0"/>
      </patternFill>
    </fill>
    <fill>
      <patternFill patternType="solid">
        <fgColor theme="4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D88A20"/>
      </patternFill>
    </fill>
    <fill>
      <patternFill patternType="solid">
        <fgColor rgb="FFFFF2CC"/>
      </patternFill>
    </fill>
    <fill>
      <patternFill patternType="solid">
        <fgColor rgb="FF9C5700"/>
      </patternFill>
    </fill>
    <fill>
      <patternFill patternType="solid">
        <fgColor rgb="FFFFF8E7"/>
      </patternFill>
    </fill>
    <fill>
      <patternFill patternType="solid">
        <fgColor rgb="FFF8CBAD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1B2E8"/>
        <bgColor indexed="64"/>
      </patternFill>
    </fill>
    <fill>
      <patternFill patternType="solid">
        <fgColor theme="4" tint="0.39997558519241921"/>
        <bgColor indexed="64"/>
      </patternFill>
    </fill>
  </fills>
  <borders count="64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/>
      <bottom style="thin">
        <color rgb="FFD9D9D9"/>
      </bottom>
      <diagonal/>
    </border>
    <border>
      <left style="thick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thick">
        <color rgb="FF000000"/>
      </right>
      <top/>
      <bottom style="thin">
        <color rgb="FFD9D9D9"/>
      </bottom>
      <diagonal/>
    </border>
    <border>
      <left/>
      <right style="thick">
        <color rgb="FF000000"/>
      </right>
      <top style="thin">
        <color rgb="FFD9D9D9"/>
      </top>
      <bottom style="thin">
        <color rgb="FFD9D9D9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n">
        <color rgb="FFD9D9D9"/>
      </top>
      <bottom style="thick">
        <color rgb="FF000000"/>
      </bottom>
      <diagonal/>
    </border>
    <border>
      <left/>
      <right/>
      <top style="thin">
        <color rgb="FFD9D9D9"/>
      </top>
      <bottom style="thick">
        <color rgb="FF000000"/>
      </bottom>
      <diagonal/>
    </border>
    <border>
      <left/>
      <right style="thick">
        <color rgb="FF000000"/>
      </right>
      <top style="thin">
        <color rgb="FFD9D9D9"/>
      </top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thin">
        <color auto="1"/>
      </right>
      <top style="thin">
        <color rgb="FFD88A20"/>
      </top>
      <bottom style="thick">
        <color rgb="FF000000"/>
      </bottom>
      <diagonal/>
    </border>
    <border>
      <left style="thin">
        <color auto="1"/>
      </left>
      <right style="thin">
        <color auto="1"/>
      </right>
      <top style="thin">
        <color rgb="FFD88A20"/>
      </top>
      <bottom style="thick">
        <color rgb="FF000000"/>
      </bottom>
      <diagonal/>
    </border>
    <border>
      <left style="thin">
        <color auto="1"/>
      </left>
      <right style="thick">
        <color rgb="FF000000"/>
      </right>
      <top style="thin">
        <color rgb="FFD88A20"/>
      </top>
      <bottom style="thick">
        <color rgb="FF000000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</borders>
  <cellStyleXfs count="8">
    <xf numFmtId="0" fontId="0" fillId="0" borderId="0"/>
    <xf numFmtId="0" fontId="6" fillId="0" borderId="0"/>
    <xf numFmtId="0" fontId="8" fillId="0" borderId="0"/>
    <xf numFmtId="0" fontId="8" fillId="0" borderId="0"/>
    <xf numFmtId="0" fontId="6" fillId="0" borderId="14"/>
    <xf numFmtId="0" fontId="6" fillId="0" borderId="14"/>
    <xf numFmtId="0" fontId="8" fillId="0" borderId="14"/>
    <xf numFmtId="0" fontId="8" fillId="0" borderId="14"/>
  </cellStyleXfs>
  <cellXfs count="202">
    <xf numFmtId="0" fontId="0" fillId="0" borderId="0" xfId="0"/>
    <xf numFmtId="0" fontId="1" fillId="0" borderId="0" xfId="0" applyFont="1" applyAlignment="1">
      <alignment horizontal="center"/>
    </xf>
    <xf numFmtId="9" fontId="1" fillId="0" borderId="0" xfId="0" applyNumberFormat="1" applyFont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3" fillId="5" borderId="7" xfId="0" applyFont="1" applyFill="1" applyBorder="1" applyAlignment="1">
      <alignment horizontal="center"/>
    </xf>
    <xf numFmtId="0" fontId="3" fillId="5" borderId="8" xfId="0" applyFont="1" applyFill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/>
    <xf numFmtId="0" fontId="1" fillId="0" borderId="10" xfId="0" applyFont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176" fontId="1" fillId="0" borderId="0" xfId="0" applyNumberFormat="1" applyFont="1" applyAlignment="1">
      <alignment horizontal="center"/>
    </xf>
    <xf numFmtId="10" fontId="1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0" borderId="0" xfId="0" applyFont="1" applyAlignment="1">
      <alignment vertical="center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1" fillId="0" borderId="0" xfId="0" applyFont="1" applyAlignment="1">
      <alignment vertical="center" wrapText="1"/>
    </xf>
    <xf numFmtId="2" fontId="1" fillId="0" borderId="0" xfId="0" applyNumberFormat="1" applyFont="1" applyAlignment="1">
      <alignment horizontal="center" vertical="center" wrapText="1"/>
    </xf>
    <xf numFmtId="0" fontId="1" fillId="4" borderId="1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9" fillId="0" borderId="0" xfId="3" applyFont="1" applyAlignment="1">
      <alignment horizontal="center"/>
    </xf>
    <xf numFmtId="0" fontId="16" fillId="13" borderId="14" xfId="0" applyFont="1" applyFill="1" applyBorder="1" applyAlignment="1">
      <alignment horizontal="center" vertical="center" wrapText="1"/>
    </xf>
    <xf numFmtId="1" fontId="16" fillId="13" borderId="14" xfId="0" applyNumberFormat="1" applyFont="1" applyFill="1" applyBorder="1" applyAlignment="1">
      <alignment horizontal="center" vertical="center" wrapText="1"/>
    </xf>
    <xf numFmtId="0" fontId="19" fillId="18" borderId="16" xfId="0" applyFont="1" applyFill="1" applyBorder="1" applyAlignment="1">
      <alignment horizontal="center" vertical="center" wrapText="1"/>
    </xf>
    <xf numFmtId="1" fontId="19" fillId="18" borderId="16" xfId="0" applyNumberFormat="1" applyFont="1" applyFill="1" applyBorder="1" applyAlignment="1">
      <alignment horizontal="center" vertical="center" wrapText="1"/>
    </xf>
    <xf numFmtId="0" fontId="16" fillId="13" borderId="33" xfId="0" applyFont="1" applyFill="1" applyBorder="1" applyAlignment="1">
      <alignment horizontal="center" vertical="center" wrapText="1"/>
    </xf>
    <xf numFmtId="1" fontId="16" fillId="13" borderId="34" xfId="0" applyNumberFormat="1" applyFont="1" applyFill="1" applyBorder="1" applyAlignment="1">
      <alignment horizontal="center" vertical="center" wrapText="1"/>
    </xf>
    <xf numFmtId="0" fontId="19" fillId="18" borderId="21" xfId="0" applyFont="1" applyFill="1" applyBorder="1" applyAlignment="1">
      <alignment horizontal="center" vertical="center" wrapText="1"/>
    </xf>
    <xf numFmtId="1" fontId="19" fillId="18" borderId="23" xfId="0" applyNumberFormat="1" applyFont="1" applyFill="1" applyBorder="1" applyAlignment="1">
      <alignment horizontal="center" vertical="center" wrapText="1"/>
    </xf>
    <xf numFmtId="0" fontId="15" fillId="17" borderId="24" xfId="0" applyFont="1" applyFill="1" applyBorder="1" applyAlignment="1">
      <alignment horizontal="center" vertical="center" wrapText="1"/>
    </xf>
    <xf numFmtId="0" fontId="15" fillId="17" borderId="25" xfId="0" applyFont="1" applyFill="1" applyBorder="1" applyAlignment="1">
      <alignment horizontal="center" vertical="center" wrapText="1"/>
    </xf>
    <xf numFmtId="0" fontId="15" fillId="17" borderId="26" xfId="0" applyFont="1" applyFill="1" applyBorder="1" applyAlignment="1">
      <alignment horizontal="center" vertical="center" wrapText="1"/>
    </xf>
    <xf numFmtId="0" fontId="19" fillId="16" borderId="35" xfId="0" applyFont="1" applyFill="1" applyBorder="1" applyAlignment="1">
      <alignment horizontal="center" vertical="center" wrapText="1"/>
    </xf>
    <xf numFmtId="0" fontId="19" fillId="16" borderId="36" xfId="0" applyFont="1" applyFill="1" applyBorder="1" applyAlignment="1">
      <alignment horizontal="center" vertical="center" wrapText="1"/>
    </xf>
    <xf numFmtId="1" fontId="19" fillId="16" borderId="36" xfId="0" applyNumberFormat="1" applyFont="1" applyFill="1" applyBorder="1" applyAlignment="1">
      <alignment horizontal="center" vertical="center" wrapText="1"/>
    </xf>
    <xf numFmtId="1" fontId="19" fillId="16" borderId="37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25" fillId="0" borderId="0" xfId="0" applyFont="1" applyAlignment="1">
      <alignment horizontal="left" vertical="center" wrapText="1"/>
    </xf>
    <xf numFmtId="0" fontId="23" fillId="0" borderId="14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/>
    </xf>
    <xf numFmtId="0" fontId="7" fillId="0" borderId="0" xfId="2" applyFont="1" applyAlignment="1">
      <alignment horizontal="center" vertical="top" wrapText="1"/>
    </xf>
    <xf numFmtId="0" fontId="11" fillId="0" borderId="0" xfId="2" applyFont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6" borderId="11" xfId="0" applyFont="1" applyFill="1" applyBorder="1" applyAlignment="1">
      <alignment horizontal="center"/>
    </xf>
    <xf numFmtId="0" fontId="1" fillId="8" borderId="9" xfId="0" applyFont="1" applyFill="1" applyBorder="1" applyAlignment="1">
      <alignment horizontal="center"/>
    </xf>
    <xf numFmtId="0" fontId="1" fillId="9" borderId="9" xfId="0" applyFont="1" applyFill="1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177" fontId="1" fillId="0" borderId="5" xfId="0" applyNumberFormat="1" applyFont="1" applyBorder="1" applyAlignment="1">
      <alignment horizontal="center"/>
    </xf>
    <xf numFmtId="0" fontId="1" fillId="22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3" borderId="38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177" fontId="1" fillId="3" borderId="13" xfId="0" applyNumberFormat="1" applyFont="1" applyFill="1" applyBorder="1" applyAlignment="1">
      <alignment horizontal="center"/>
    </xf>
    <xf numFmtId="177" fontId="1" fillId="3" borderId="12" xfId="0" applyNumberFormat="1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1" fillId="0" borderId="3" xfId="0" applyNumberFormat="1" applyFont="1" applyBorder="1" applyAlignment="1">
      <alignment horizontal="center"/>
    </xf>
    <xf numFmtId="1" fontId="1" fillId="0" borderId="6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77" fontId="1" fillId="0" borderId="3" xfId="0" applyNumberFormat="1" applyFont="1" applyBorder="1" applyAlignment="1">
      <alignment horizontal="center"/>
    </xf>
    <xf numFmtId="0" fontId="1" fillId="24" borderId="10" xfId="0" applyFont="1" applyFill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4" xfId="0" applyFont="1" applyBorder="1" applyAlignment="1">
      <alignment horizontal="center" vertical="center" wrapText="1"/>
    </xf>
    <xf numFmtId="0" fontId="9" fillId="0" borderId="0" xfId="3" applyFont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 wrapText="1"/>
    </xf>
    <xf numFmtId="178" fontId="1" fillId="0" borderId="0" xfId="0" applyNumberFormat="1" applyFont="1" applyAlignment="1">
      <alignment horizontal="center" vertical="center" wrapText="1"/>
    </xf>
    <xf numFmtId="178" fontId="1" fillId="0" borderId="14" xfId="0" applyNumberFormat="1" applyFont="1" applyBorder="1" applyAlignment="1">
      <alignment horizontal="center" vertical="center" wrapText="1"/>
    </xf>
    <xf numFmtId="0" fontId="19" fillId="0" borderId="3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1" fontId="19" fillId="0" borderId="14" xfId="0" applyNumberFormat="1" applyFont="1" applyBorder="1" applyAlignment="1">
      <alignment horizontal="center" vertical="center" wrapText="1"/>
    </xf>
    <xf numFmtId="1" fontId="19" fillId="0" borderId="34" xfId="0" applyNumberFormat="1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 wrapText="1"/>
    </xf>
    <xf numFmtId="0" fontId="1" fillId="0" borderId="42" xfId="0" applyFont="1" applyBorder="1" applyAlignment="1">
      <alignment horizontal="center" vertical="center" wrapText="1"/>
    </xf>
    <xf numFmtId="0" fontId="1" fillId="0" borderId="42" xfId="0" applyFont="1" applyBorder="1" applyAlignment="1">
      <alignment vertical="center" wrapText="1"/>
    </xf>
    <xf numFmtId="0" fontId="1" fillId="0" borderId="43" xfId="0" applyFont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 wrapText="1"/>
    </xf>
    <xf numFmtId="10" fontId="1" fillId="0" borderId="45" xfId="0" applyNumberFormat="1" applyFont="1" applyBorder="1" applyAlignment="1">
      <alignment horizontal="center" vertical="center" wrapText="1"/>
    </xf>
    <xf numFmtId="9" fontId="1" fillId="0" borderId="45" xfId="0" applyNumberFormat="1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10" fontId="1" fillId="0" borderId="40" xfId="0" applyNumberFormat="1" applyFont="1" applyBorder="1" applyAlignment="1">
      <alignment horizontal="center" vertical="center" wrapText="1"/>
    </xf>
    <xf numFmtId="10" fontId="1" fillId="0" borderId="42" xfId="0" applyNumberFormat="1" applyFont="1" applyBorder="1" applyAlignment="1">
      <alignment horizontal="center" vertical="center" wrapText="1"/>
    </xf>
    <xf numFmtId="0" fontId="1" fillId="0" borderId="50" xfId="0" applyFont="1" applyBorder="1" applyAlignment="1">
      <alignment horizontal="center" vertical="center" wrapText="1"/>
    </xf>
    <xf numFmtId="10" fontId="1" fillId="0" borderId="50" xfId="0" applyNumberFormat="1" applyFont="1" applyBorder="1" applyAlignment="1">
      <alignment horizontal="center" vertical="center" wrapText="1"/>
    </xf>
    <xf numFmtId="177" fontId="1" fillId="0" borderId="6" xfId="0" applyNumberFormat="1" applyFont="1" applyBorder="1" applyAlignment="1">
      <alignment horizontal="center"/>
    </xf>
    <xf numFmtId="0" fontId="1" fillId="22" borderId="38" xfId="0" applyFont="1" applyFill="1" applyBorder="1" applyAlignment="1">
      <alignment horizontal="center" vertical="center" wrapText="1"/>
    </xf>
    <xf numFmtId="0" fontId="1" fillId="21" borderId="38" xfId="0" applyFont="1" applyFill="1" applyBorder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0" fillId="7" borderId="24" xfId="0" applyFont="1" applyFill="1" applyBorder="1" applyAlignment="1">
      <alignment horizontal="center" vertical="center"/>
    </xf>
    <xf numFmtId="0" fontId="10" fillId="7" borderId="25" xfId="0" applyFont="1" applyFill="1" applyBorder="1" applyAlignment="1">
      <alignment horizontal="center" vertical="center"/>
    </xf>
    <xf numFmtId="0" fontId="10" fillId="7" borderId="26" xfId="0" applyFont="1" applyFill="1" applyBorder="1" applyAlignment="1">
      <alignment horizontal="center" vertical="center"/>
    </xf>
    <xf numFmtId="0" fontId="24" fillId="14" borderId="30" xfId="0" applyFont="1" applyFill="1" applyBorder="1" applyAlignment="1">
      <alignment horizontal="center" vertical="center" wrapText="1"/>
    </xf>
    <xf numFmtId="0" fontId="24" fillId="14" borderId="31" xfId="0" applyFont="1" applyFill="1" applyBorder="1" applyAlignment="1">
      <alignment horizontal="center" vertical="center" wrapText="1"/>
    </xf>
    <xf numFmtId="0" fontId="24" fillId="14" borderId="32" xfId="0" applyFont="1" applyFill="1" applyBorder="1" applyAlignment="1">
      <alignment horizontal="center" vertical="center" wrapText="1"/>
    </xf>
    <xf numFmtId="0" fontId="21" fillId="19" borderId="24" xfId="0" applyFont="1" applyFill="1" applyBorder="1" applyAlignment="1">
      <alignment horizontal="center" vertical="center" wrapText="1"/>
    </xf>
    <xf numFmtId="0" fontId="21" fillId="19" borderId="25" xfId="0" applyFont="1" applyFill="1" applyBorder="1" applyAlignment="1">
      <alignment horizontal="center" vertical="center" wrapText="1"/>
    </xf>
    <xf numFmtId="0" fontId="21" fillId="19" borderId="26" xfId="0" applyFont="1" applyFill="1" applyBorder="1" applyAlignment="1">
      <alignment horizontal="center" vertical="center" wrapText="1"/>
    </xf>
    <xf numFmtId="0" fontId="21" fillId="19" borderId="30" xfId="0" applyFont="1" applyFill="1" applyBorder="1" applyAlignment="1">
      <alignment horizontal="center" vertical="center" wrapText="1"/>
    </xf>
    <xf numFmtId="0" fontId="21" fillId="19" borderId="31" xfId="0" applyFont="1" applyFill="1" applyBorder="1" applyAlignment="1">
      <alignment horizontal="center" vertical="center" wrapText="1"/>
    </xf>
    <xf numFmtId="0" fontId="21" fillId="19" borderId="32" xfId="0" applyFont="1" applyFill="1" applyBorder="1" applyAlignment="1">
      <alignment horizontal="center" vertical="center" wrapText="1"/>
    </xf>
    <xf numFmtId="0" fontId="13" fillId="15" borderId="17" xfId="0" applyFont="1" applyFill="1" applyBorder="1" applyAlignment="1">
      <alignment horizontal="center" vertical="center" wrapText="1"/>
    </xf>
    <xf numFmtId="0" fontId="13" fillId="15" borderId="18" xfId="0" applyFont="1" applyFill="1" applyBorder="1" applyAlignment="1">
      <alignment horizontal="center" vertical="center"/>
    </xf>
    <xf numFmtId="0" fontId="13" fillId="15" borderId="19" xfId="0" applyFont="1" applyFill="1" applyBorder="1" applyAlignment="1">
      <alignment horizontal="center" vertical="center"/>
    </xf>
    <xf numFmtId="1" fontId="18" fillId="13" borderId="27" xfId="0" applyNumberFormat="1" applyFont="1" applyFill="1" applyBorder="1" applyAlignment="1">
      <alignment horizontal="center" vertical="center"/>
    </xf>
    <xf numFmtId="0" fontId="18" fillId="13" borderId="29" xfId="0" applyFont="1" applyFill="1" applyBorder="1" applyAlignment="1">
      <alignment horizontal="center" vertical="center"/>
    </xf>
    <xf numFmtId="0" fontId="17" fillId="16" borderId="24" xfId="0" applyFont="1" applyFill="1" applyBorder="1" applyAlignment="1">
      <alignment horizontal="center" vertical="center"/>
    </xf>
    <xf numFmtId="0" fontId="17" fillId="16" borderId="26" xfId="0" applyFont="1" applyFill="1" applyBorder="1" applyAlignment="1">
      <alignment horizontal="center" vertical="center"/>
    </xf>
    <xf numFmtId="0" fontId="17" fillId="16" borderId="20" xfId="0" applyFont="1" applyFill="1" applyBorder="1" applyAlignment="1">
      <alignment horizontal="center" vertical="center"/>
    </xf>
    <xf numFmtId="0" fontId="17" fillId="16" borderId="22" xfId="0" applyFont="1" applyFill="1" applyBorder="1" applyAlignment="1">
      <alignment horizontal="center" vertical="center"/>
    </xf>
    <xf numFmtId="0" fontId="17" fillId="16" borderId="25" xfId="0" applyFont="1" applyFill="1" applyBorder="1" applyAlignment="1">
      <alignment horizontal="center" vertical="center"/>
    </xf>
    <xf numFmtId="0" fontId="17" fillId="16" borderId="15" xfId="0" applyFont="1" applyFill="1" applyBorder="1" applyAlignment="1">
      <alignment horizontal="center" vertical="center"/>
    </xf>
    <xf numFmtId="1" fontId="12" fillId="13" borderId="28" xfId="0" applyNumberFormat="1" applyFont="1" applyFill="1" applyBorder="1" applyAlignment="1">
      <alignment horizontal="center" vertical="center"/>
    </xf>
    <xf numFmtId="1" fontId="12" fillId="13" borderId="29" xfId="0" applyNumberFormat="1" applyFont="1" applyFill="1" applyBorder="1" applyAlignment="1">
      <alignment horizontal="center" vertical="center"/>
    </xf>
    <xf numFmtId="1" fontId="14" fillId="13" borderId="27" xfId="0" applyNumberFormat="1" applyFont="1" applyFill="1" applyBorder="1" applyAlignment="1">
      <alignment horizontal="center" vertical="center"/>
    </xf>
    <xf numFmtId="1" fontId="14" fillId="13" borderId="28" xfId="0" applyNumberFormat="1" applyFont="1" applyFill="1" applyBorder="1" applyAlignment="1">
      <alignment horizontal="center" vertical="center"/>
    </xf>
    <xf numFmtId="1" fontId="14" fillId="13" borderId="29" xfId="0" applyNumberFormat="1" applyFont="1" applyFill="1" applyBorder="1" applyAlignment="1">
      <alignment horizontal="center" vertical="center"/>
    </xf>
    <xf numFmtId="0" fontId="1" fillId="0" borderId="38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/>
    </xf>
    <xf numFmtId="0" fontId="1" fillId="11" borderId="2" xfId="0" applyFont="1" applyFill="1" applyBorder="1" applyAlignment="1">
      <alignment horizontal="center"/>
    </xf>
    <xf numFmtId="0" fontId="1" fillId="11" borderId="3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1" fillId="10" borderId="2" xfId="0" applyFont="1" applyFill="1" applyBorder="1" applyAlignment="1">
      <alignment horizontal="center"/>
    </xf>
    <xf numFmtId="0" fontId="1" fillId="10" borderId="3" xfId="0" applyFont="1" applyFill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43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  <xf numFmtId="0" fontId="1" fillId="0" borderId="48" xfId="0" applyFont="1" applyBorder="1" applyAlignment="1">
      <alignment horizontal="center" vertical="center" wrapText="1"/>
    </xf>
    <xf numFmtId="0" fontId="1" fillId="0" borderId="42" xfId="0" applyFont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/>
    </xf>
    <xf numFmtId="0" fontId="1" fillId="25" borderId="0" xfId="0" applyFont="1" applyFill="1" applyAlignment="1">
      <alignment horizontal="center" vertical="center" wrapText="1"/>
    </xf>
    <xf numFmtId="10" fontId="1" fillId="0" borderId="14" xfId="0" applyNumberFormat="1" applyFont="1" applyBorder="1" applyAlignment="1">
      <alignment horizontal="center" vertical="center" wrapText="1"/>
    </xf>
    <xf numFmtId="0" fontId="1" fillId="0" borderId="50" xfId="0" applyFont="1" applyBorder="1" applyAlignment="1">
      <alignment horizontal="center" vertical="center" wrapText="1"/>
    </xf>
    <xf numFmtId="1" fontId="1" fillId="0" borderId="50" xfId="0" applyNumberFormat="1" applyFont="1" applyBorder="1" applyAlignment="1">
      <alignment horizontal="center" vertical="center" wrapText="1"/>
    </xf>
    <xf numFmtId="1" fontId="1" fillId="0" borderId="45" xfId="0" applyNumberFormat="1" applyFont="1" applyBorder="1" applyAlignment="1">
      <alignment horizontal="center" vertical="center" wrapText="1"/>
    </xf>
    <xf numFmtId="1" fontId="1" fillId="0" borderId="40" xfId="0" applyNumberFormat="1" applyFont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  <xf numFmtId="1" fontId="1" fillId="0" borderId="42" xfId="0" applyNumberFormat="1" applyFont="1" applyBorder="1" applyAlignment="1">
      <alignment horizontal="center" vertical="center" wrapText="1"/>
    </xf>
    <xf numFmtId="0" fontId="1" fillId="0" borderId="51" xfId="0" applyFont="1" applyBorder="1" applyAlignment="1">
      <alignment horizontal="center" vertical="center" wrapText="1"/>
    </xf>
    <xf numFmtId="0" fontId="1" fillId="0" borderId="60" xfId="0" applyFont="1" applyBorder="1" applyAlignment="1">
      <alignment horizontal="center" vertical="center" wrapText="1"/>
    </xf>
    <xf numFmtId="0" fontId="1" fillId="0" borderId="61" xfId="0" applyFont="1" applyBorder="1" applyAlignment="1">
      <alignment horizontal="center" vertical="center" wrapText="1"/>
    </xf>
    <xf numFmtId="0" fontId="1" fillId="0" borderId="62" xfId="0" applyFont="1" applyBorder="1" applyAlignment="1">
      <alignment horizontal="center" vertical="center" wrapText="1"/>
    </xf>
    <xf numFmtId="0" fontId="1" fillId="0" borderId="59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57" xfId="0" applyFont="1" applyBorder="1" applyAlignment="1">
      <alignment horizontal="center" vertical="center" wrapText="1"/>
    </xf>
    <xf numFmtId="1" fontId="1" fillId="0" borderId="59" xfId="0" applyNumberFormat="1" applyFont="1" applyBorder="1" applyAlignment="1">
      <alignment horizontal="center" vertical="center" wrapText="1"/>
    </xf>
    <xf numFmtId="1" fontId="1" fillId="0" borderId="56" xfId="0" applyNumberFormat="1" applyFont="1" applyBorder="1" applyAlignment="1">
      <alignment horizontal="center" vertical="center" wrapText="1"/>
    </xf>
    <xf numFmtId="1" fontId="1" fillId="0" borderId="57" xfId="0" applyNumberFormat="1" applyFont="1" applyBorder="1" applyAlignment="1">
      <alignment horizontal="center" vertical="center" wrapText="1"/>
    </xf>
    <xf numFmtId="0" fontId="1" fillId="0" borderId="63" xfId="0" applyFont="1" applyBorder="1" applyAlignment="1">
      <alignment horizontal="center" vertical="center" wrapText="1"/>
    </xf>
    <xf numFmtId="0" fontId="1" fillId="0" borderId="55" xfId="0" applyFont="1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center" wrapText="1"/>
    </xf>
    <xf numFmtId="1" fontId="1" fillId="0" borderId="55" xfId="0" applyNumberFormat="1" applyFont="1" applyBorder="1" applyAlignment="1">
      <alignment horizontal="center" vertical="center" wrapText="1"/>
    </xf>
    <xf numFmtId="0" fontId="1" fillId="0" borderId="52" xfId="0" applyFont="1" applyBorder="1" applyAlignment="1">
      <alignment horizontal="center" vertical="center" wrapText="1"/>
    </xf>
    <xf numFmtId="0" fontId="1" fillId="0" borderId="53" xfId="0" applyFont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wrapText="1"/>
    </xf>
    <xf numFmtId="0" fontId="1" fillId="0" borderId="58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5" fillId="12" borderId="4" xfId="0" applyFont="1" applyFill="1" applyBorder="1" applyAlignment="1">
      <alignment horizontal="center" vertical="center" wrapText="1"/>
    </xf>
    <xf numFmtId="0" fontId="5" fillId="12" borderId="1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23" borderId="6" xfId="0" applyFont="1" applyFill="1" applyBorder="1" applyAlignment="1">
      <alignment horizontal="center" vertical="center"/>
    </xf>
    <xf numFmtId="0" fontId="4" fillId="23" borderId="7" xfId="0" applyFont="1" applyFill="1" applyBorder="1" applyAlignment="1">
      <alignment horizontal="center" vertical="center"/>
    </xf>
    <xf numFmtId="0" fontId="4" fillId="23" borderId="8" xfId="0" applyFont="1" applyFill="1" applyBorder="1" applyAlignment="1">
      <alignment horizontal="center" vertical="center"/>
    </xf>
    <xf numFmtId="0" fontId="5" fillId="21" borderId="14" xfId="0" applyFont="1" applyFill="1" applyBorder="1" applyAlignment="1">
      <alignment horizontal="center" vertical="center" wrapText="1"/>
    </xf>
    <xf numFmtId="0" fontId="5" fillId="20" borderId="14" xfId="0" applyFont="1" applyFill="1" applyBorder="1" applyAlignment="1">
      <alignment horizontal="center" vertical="center" wrapText="1"/>
    </xf>
    <xf numFmtId="0" fontId="5" fillId="20" borderId="5" xfId="0" applyFont="1" applyFill="1" applyBorder="1" applyAlignment="1">
      <alignment horizontal="center" vertical="center" wrapText="1"/>
    </xf>
  </cellXfs>
  <cellStyles count="8">
    <cellStyle name="Normal" xfId="2" xr:uid="{00000000-0005-0000-0000-000000000000}"/>
    <cellStyle name="Normal 2" xfId="6" xr:uid="{2C40627B-0060-4377-8A91-AFF8178D0484}"/>
    <cellStyle name="常规" xfId="0" builtinId="0"/>
    <cellStyle name="常规 2" xfId="1" xr:uid="{00000000-0005-0000-0000-000002000000}"/>
    <cellStyle name="常规 2 2" xfId="5" xr:uid="{76FFBABE-9117-4AF1-9EA3-CA10B242D942}"/>
    <cellStyle name="常规 3" xfId="3" xr:uid="{00000000-0005-0000-0000-000003000000}"/>
    <cellStyle name="常规 3 2" xfId="7" xr:uid="{89081A53-DE0B-4B56-A1DA-488106F0CF98}"/>
    <cellStyle name="常规 4" xfId="4" xr:uid="{14A84218-D7CA-4C62-A65E-8A46BB85F092}"/>
  </cellStyles>
  <dxfs count="28">
    <dxf>
      <fill>
        <patternFill>
          <bgColor rgb="FFFFFF00"/>
        </patternFill>
      </fill>
    </dxf>
    <dxf>
      <fill>
        <patternFill>
          <bgColor theme="5" tint="0.59993285927915285"/>
        </patternFill>
      </fill>
    </dxf>
    <dxf>
      <fill>
        <patternFill>
          <bgColor theme="9" tint="0.59996337778862885"/>
        </patternFill>
      </fill>
    </dxf>
    <dxf>
      <fill>
        <patternFill>
          <bgColor rgb="FFD1B2E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 tint="0.59993285927915285"/>
        </patternFill>
      </fill>
    </dxf>
    <dxf>
      <fill>
        <patternFill>
          <bgColor theme="9" tint="0.59996337778862885"/>
        </patternFill>
      </fill>
    </dxf>
    <dxf>
      <fill>
        <patternFill>
          <bgColor rgb="FFD1B2E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 tint="0.59993285927915285"/>
        </patternFill>
      </fill>
    </dxf>
    <dxf>
      <fill>
        <patternFill>
          <bgColor theme="9" tint="0.59996337778862885"/>
        </patternFill>
      </fill>
    </dxf>
    <dxf>
      <fill>
        <patternFill>
          <bgColor rgb="FFD1B2E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00"/>
        </patternFill>
      </fill>
    </dxf>
    <dxf>
      <fill>
        <patternFill>
          <bgColor theme="5" tint="0.59993285927915285"/>
        </patternFill>
      </fill>
    </dxf>
    <dxf>
      <fill>
        <patternFill>
          <bgColor theme="9" tint="0.59996337778862885"/>
        </patternFill>
      </fill>
    </dxf>
    <dxf>
      <fill>
        <patternFill>
          <bgColor rgb="FFD1B2E8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</dxfs>
  <tableStyles count="0" defaultTableStyle="TableStyleMedium2" defaultPivotStyle="PivotStyleLight16"/>
  <colors>
    <mruColors>
      <color rgb="FFD1B2E8"/>
      <color rgb="FFCC00CC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DCA11-D939-46F4-B5B2-5D22CCB6744C}">
  <sheetPr codeName="Sheet1"/>
  <dimension ref="B1:M41"/>
  <sheetViews>
    <sheetView workbookViewId="0">
      <selection activeCell="C4" sqref="C4"/>
    </sheetView>
  </sheetViews>
  <sheetFormatPr defaultRowHeight="15.6"/>
  <cols>
    <col min="1" max="1" width="8.88671875" style="6"/>
    <col min="2" max="2" width="13.77734375" style="6" bestFit="1" customWidth="1"/>
    <col min="3" max="3" width="26.88671875" style="6" bestFit="1" customWidth="1"/>
    <col min="4" max="4" width="9.5546875" style="6" bestFit="1" customWidth="1"/>
    <col min="5" max="5" width="17.88671875" style="6" bestFit="1" customWidth="1"/>
    <col min="6" max="6" width="10.44140625" style="6" customWidth="1"/>
    <col min="7" max="7" width="23.44140625" style="6" bestFit="1" customWidth="1"/>
    <col min="8" max="8" width="20.44140625" style="6" customWidth="1"/>
    <col min="9" max="9" width="8.88671875" style="6"/>
    <col min="10" max="10" width="22.33203125" style="6" customWidth="1"/>
    <col min="11" max="11" width="11.5546875" style="6" customWidth="1"/>
    <col min="12" max="12" width="12.33203125" style="6" customWidth="1"/>
    <col min="13" max="14" width="10" style="6" customWidth="1"/>
    <col min="15" max="16384" width="8.88671875" style="6"/>
  </cols>
  <sheetData>
    <row r="1" spans="2:13" ht="16.8" thickTop="1" thickBot="1">
      <c r="B1" s="139" t="s">
        <v>78</v>
      </c>
      <c r="C1" s="140"/>
      <c r="D1" s="140"/>
      <c r="E1" s="141"/>
      <c r="G1" s="138" t="s">
        <v>79</v>
      </c>
      <c r="H1" s="138"/>
      <c r="I1" s="138"/>
      <c r="J1" s="138"/>
    </row>
    <row r="2" spans="2:13" ht="16.8" thickTop="1" thickBot="1">
      <c r="B2" s="84" t="s">
        <v>75</v>
      </c>
      <c r="C2" s="84" t="s">
        <v>76</v>
      </c>
      <c r="D2" s="84" t="s">
        <v>77</v>
      </c>
      <c r="E2" s="85" t="s">
        <v>83</v>
      </c>
      <c r="G2" s="85" t="s">
        <v>75</v>
      </c>
      <c r="H2" s="85" t="s">
        <v>76</v>
      </c>
      <c r="I2" s="85" t="s">
        <v>77</v>
      </c>
      <c r="J2" s="85" t="s">
        <v>83</v>
      </c>
      <c r="K2" s="6" t="s">
        <v>197</v>
      </c>
      <c r="L2" s="6" t="s">
        <v>199</v>
      </c>
      <c r="M2" s="6" t="s">
        <v>198</v>
      </c>
    </row>
    <row r="3" spans="2:13" ht="32.4" thickTop="1" thickBot="1">
      <c r="B3" s="85" t="s">
        <v>144</v>
      </c>
      <c r="C3" s="85" t="s">
        <v>215</v>
      </c>
      <c r="D3" s="85">
        <v>1</v>
      </c>
      <c r="E3" s="85" t="s">
        <v>81</v>
      </c>
      <c r="G3" s="85" t="s">
        <v>190</v>
      </c>
      <c r="H3" s="85" t="s">
        <v>92</v>
      </c>
      <c r="I3" s="85">
        <v>10</v>
      </c>
      <c r="J3" s="85"/>
    </row>
    <row r="4" spans="2:13" ht="16.8" thickTop="1" thickBot="1">
      <c r="B4" s="85" t="s">
        <v>144</v>
      </c>
      <c r="C4" s="85" t="s">
        <v>236</v>
      </c>
      <c r="D4" s="85">
        <v>5</v>
      </c>
      <c r="E4" s="85"/>
      <c r="G4" s="85" t="s">
        <v>114</v>
      </c>
      <c r="H4" s="85" t="s">
        <v>93</v>
      </c>
      <c r="I4" s="85">
        <v>50</v>
      </c>
      <c r="J4" s="85"/>
    </row>
    <row r="5" spans="2:13" ht="16.8" thickTop="1" thickBot="1">
      <c r="B5" s="85" t="s">
        <v>145</v>
      </c>
      <c r="C5" s="85" t="s">
        <v>203</v>
      </c>
      <c r="D5" s="85">
        <v>5</v>
      </c>
      <c r="E5" s="85"/>
      <c r="G5" s="85" t="s">
        <v>115</v>
      </c>
      <c r="H5" s="85" t="s">
        <v>94</v>
      </c>
      <c r="I5" s="85">
        <v>50</v>
      </c>
      <c r="J5" s="85"/>
    </row>
    <row r="6" spans="2:13" ht="16.8" thickTop="1" thickBot="1">
      <c r="B6" s="85" t="s">
        <v>144</v>
      </c>
      <c r="C6" s="85" t="s">
        <v>105</v>
      </c>
      <c r="D6" s="85">
        <v>3</v>
      </c>
      <c r="E6" s="85"/>
      <c r="G6" s="85" t="s">
        <v>116</v>
      </c>
      <c r="H6" s="85" t="s">
        <v>95</v>
      </c>
      <c r="I6" s="85">
        <v>50</v>
      </c>
      <c r="J6" s="85"/>
    </row>
    <row r="7" spans="2:13" ht="16.8" thickTop="1" thickBot="1">
      <c r="B7" s="85" t="s">
        <v>144</v>
      </c>
      <c r="C7" s="85" t="s">
        <v>106</v>
      </c>
      <c r="D7" s="85">
        <v>3</v>
      </c>
      <c r="E7" s="85"/>
      <c r="G7" s="107" t="s">
        <v>117</v>
      </c>
      <c r="H7" s="107" t="s">
        <v>96</v>
      </c>
      <c r="I7" s="107">
        <v>4</v>
      </c>
      <c r="J7" s="85"/>
    </row>
    <row r="8" spans="2:13" ht="16.8" thickTop="1" thickBot="1">
      <c r="B8" s="85" t="s">
        <v>146</v>
      </c>
      <c r="C8" s="85" t="s">
        <v>140</v>
      </c>
      <c r="D8" s="85">
        <v>3</v>
      </c>
      <c r="E8" s="85"/>
      <c r="G8" s="85" t="s">
        <v>190</v>
      </c>
      <c r="H8" s="85" t="s">
        <v>92</v>
      </c>
      <c r="I8" s="85">
        <v>10</v>
      </c>
      <c r="J8" s="85" t="s">
        <v>97</v>
      </c>
    </row>
    <row r="9" spans="2:13" ht="16.8" thickTop="1" thickBot="1">
      <c r="B9" s="85" t="s">
        <v>146</v>
      </c>
      <c r="C9" s="85" t="s">
        <v>141</v>
      </c>
      <c r="D9" s="85">
        <v>3</v>
      </c>
      <c r="E9" s="85"/>
      <c r="G9" s="85" t="s">
        <v>118</v>
      </c>
      <c r="H9" s="85" t="s">
        <v>69</v>
      </c>
      <c r="I9" s="85">
        <v>20</v>
      </c>
      <c r="J9" s="85" t="s">
        <v>97</v>
      </c>
    </row>
    <row r="10" spans="2:13" ht="16.8" thickTop="1" thickBot="1">
      <c r="B10" s="85" t="s">
        <v>147</v>
      </c>
      <c r="C10" s="85" t="s">
        <v>61</v>
      </c>
      <c r="D10" s="85">
        <v>1</v>
      </c>
      <c r="E10" s="85"/>
      <c r="G10" s="106" t="s">
        <v>119</v>
      </c>
      <c r="H10" s="106" t="s">
        <v>98</v>
      </c>
      <c r="I10" s="106">
        <v>20</v>
      </c>
      <c r="J10" s="85" t="s">
        <v>97</v>
      </c>
    </row>
    <row r="11" spans="2:13" ht="16.8" thickTop="1" thickBot="1">
      <c r="B11" s="85" t="s">
        <v>148</v>
      </c>
      <c r="C11" s="85" t="s">
        <v>62</v>
      </c>
      <c r="D11" s="85">
        <v>1</v>
      </c>
      <c r="E11" s="85"/>
      <c r="G11" s="85" t="s">
        <v>120</v>
      </c>
      <c r="H11" s="85" t="s">
        <v>99</v>
      </c>
      <c r="I11" s="85">
        <v>20</v>
      </c>
      <c r="J11" s="85" t="s">
        <v>97</v>
      </c>
    </row>
    <row r="12" spans="2:13" ht="16.8" thickTop="1" thickBot="1">
      <c r="B12" s="85" t="s">
        <v>148</v>
      </c>
      <c r="C12" s="85" t="s">
        <v>59</v>
      </c>
      <c r="D12" s="85">
        <v>1</v>
      </c>
      <c r="E12" s="85"/>
      <c r="G12" s="107" t="s">
        <v>121</v>
      </c>
      <c r="H12" s="107" t="s">
        <v>96</v>
      </c>
      <c r="I12" s="107">
        <v>8</v>
      </c>
      <c r="J12" s="85" t="s">
        <v>97</v>
      </c>
    </row>
    <row r="13" spans="2:13" ht="16.8" thickTop="1" thickBot="1">
      <c r="B13" s="85" t="s">
        <v>148</v>
      </c>
      <c r="C13" s="85" t="s">
        <v>66</v>
      </c>
      <c r="D13" s="85">
        <v>1</v>
      </c>
      <c r="E13" s="85"/>
      <c r="G13" s="85" t="s">
        <v>191</v>
      </c>
      <c r="H13" s="85" t="s">
        <v>96</v>
      </c>
      <c r="I13" s="85">
        <v>10</v>
      </c>
      <c r="J13" s="85" t="s">
        <v>100</v>
      </c>
    </row>
    <row r="14" spans="2:13" ht="16.8" thickTop="1" thickBot="1">
      <c r="B14" s="85" t="s">
        <v>149</v>
      </c>
      <c r="C14" s="85" t="s">
        <v>63</v>
      </c>
      <c r="D14" s="85">
        <v>1</v>
      </c>
      <c r="E14" s="85"/>
      <c r="G14" s="85" t="s">
        <v>122</v>
      </c>
      <c r="H14" s="85" t="s">
        <v>71</v>
      </c>
      <c r="I14" s="85">
        <v>6</v>
      </c>
      <c r="J14" s="85" t="s">
        <v>100</v>
      </c>
      <c r="K14" s="108">
        <f>4800/468</f>
        <v>10.256410256410257</v>
      </c>
      <c r="L14" s="108">
        <f t="shared" ref="L14:L16" si="0">K14*80</f>
        <v>820.51282051282055</v>
      </c>
      <c r="M14" s="6">
        <v>1600</v>
      </c>
    </row>
    <row r="15" spans="2:13" ht="16.8" thickTop="1" thickBot="1">
      <c r="B15" s="85" t="s">
        <v>149</v>
      </c>
      <c r="C15" s="85" t="s">
        <v>74</v>
      </c>
      <c r="D15" s="85">
        <v>5</v>
      </c>
      <c r="E15" s="85"/>
      <c r="G15" s="85" t="s">
        <v>122</v>
      </c>
      <c r="H15" s="85" t="s">
        <v>72</v>
      </c>
      <c r="I15" s="85">
        <v>4</v>
      </c>
      <c r="J15" s="85" t="s">
        <v>100</v>
      </c>
      <c r="K15" s="108">
        <f>4800/468</f>
        <v>10.256410256410257</v>
      </c>
      <c r="L15" s="108">
        <f t="shared" si="0"/>
        <v>820.51282051282055</v>
      </c>
      <c r="M15" s="6">
        <v>1600</v>
      </c>
    </row>
    <row r="16" spans="2:13" ht="16.8" thickTop="1" thickBot="1">
      <c r="B16" s="85" t="s">
        <v>150</v>
      </c>
      <c r="C16" s="85" t="s">
        <v>142</v>
      </c>
      <c r="D16" s="85" t="s">
        <v>143</v>
      </c>
      <c r="E16" s="85"/>
      <c r="G16" s="85" t="s">
        <v>122</v>
      </c>
      <c r="H16" s="85" t="s">
        <v>73</v>
      </c>
      <c r="I16" s="85">
        <v>4</v>
      </c>
      <c r="J16" s="85" t="s">
        <v>100</v>
      </c>
      <c r="K16" s="108">
        <f>4800/468</f>
        <v>10.256410256410257</v>
      </c>
      <c r="L16" s="108">
        <f t="shared" si="0"/>
        <v>820.51282051282055</v>
      </c>
      <c r="M16" s="6">
        <v>1600</v>
      </c>
    </row>
    <row r="17" spans="2:13" ht="29.4" thickTop="1" thickBot="1">
      <c r="B17" s="83"/>
      <c r="C17" s="83"/>
      <c r="D17" s="83"/>
      <c r="E17" s="51"/>
      <c r="G17" s="85" t="s">
        <v>123</v>
      </c>
      <c r="H17" s="85" t="s">
        <v>101</v>
      </c>
      <c r="I17" s="85">
        <v>50</v>
      </c>
      <c r="J17" s="85" t="s">
        <v>100</v>
      </c>
    </row>
    <row r="18" spans="2:13" ht="29.4" thickTop="1" thickBot="1">
      <c r="B18" s="83"/>
      <c r="C18" s="83"/>
      <c r="D18" s="83"/>
      <c r="E18" s="51"/>
      <c r="G18" s="85" t="s">
        <v>124</v>
      </c>
      <c r="H18" s="85" t="s">
        <v>102</v>
      </c>
      <c r="I18" s="85">
        <v>10</v>
      </c>
      <c r="J18" s="85" t="s">
        <v>100</v>
      </c>
    </row>
    <row r="19" spans="2:13" ht="29.4" thickTop="1" thickBot="1">
      <c r="B19" s="83"/>
      <c r="C19" s="83"/>
      <c r="D19" s="83"/>
      <c r="E19" s="51"/>
      <c r="G19" s="106" t="s">
        <v>125</v>
      </c>
      <c r="H19" s="106" t="s">
        <v>103</v>
      </c>
      <c r="I19" s="106">
        <v>10</v>
      </c>
      <c r="J19" s="85" t="s">
        <v>100</v>
      </c>
      <c r="K19" s="108">
        <f>800/468</f>
        <v>1.7094017094017093</v>
      </c>
      <c r="L19" s="108">
        <f>K19*80</f>
        <v>136.75213675213675</v>
      </c>
      <c r="M19" s="6">
        <f>74*2</f>
        <v>148</v>
      </c>
    </row>
    <row r="20" spans="2:13" ht="29.4" thickTop="1" thickBot="1">
      <c r="B20" s="83"/>
      <c r="C20" s="83"/>
      <c r="D20" s="83"/>
      <c r="E20" s="51"/>
      <c r="G20" s="107" t="s">
        <v>126</v>
      </c>
      <c r="H20" s="107" t="s">
        <v>96</v>
      </c>
      <c r="I20" s="107">
        <v>12</v>
      </c>
      <c r="J20" s="85" t="s">
        <v>100</v>
      </c>
    </row>
    <row r="21" spans="2:13" ht="29.4" thickTop="1" thickBot="1">
      <c r="B21" s="83"/>
      <c r="C21" s="83"/>
      <c r="D21" s="83"/>
      <c r="E21" s="51"/>
      <c r="G21" s="85" t="s">
        <v>191</v>
      </c>
      <c r="H21" s="85" t="s">
        <v>96</v>
      </c>
      <c r="I21" s="85">
        <v>10</v>
      </c>
      <c r="J21" s="85" t="s">
        <v>104</v>
      </c>
    </row>
    <row r="22" spans="2:13" ht="32.4" thickTop="1" thickBot="1">
      <c r="B22" s="83"/>
      <c r="C22" s="83"/>
      <c r="D22" s="83"/>
      <c r="E22" s="51"/>
      <c r="G22" s="106" t="s">
        <v>195</v>
      </c>
      <c r="H22" s="106" t="s">
        <v>200</v>
      </c>
      <c r="I22" s="106">
        <v>1</v>
      </c>
      <c r="J22" s="85" t="s">
        <v>104</v>
      </c>
      <c r="K22" s="108">
        <f>100000/468</f>
        <v>213.67521367521368</v>
      </c>
      <c r="L22" s="108">
        <f>K22*80</f>
        <v>17094.017094017094</v>
      </c>
      <c r="M22" s="6">
        <v>64000</v>
      </c>
    </row>
    <row r="23" spans="2:13" ht="32.4" thickTop="1" thickBot="1">
      <c r="B23" s="83"/>
      <c r="C23" s="83"/>
      <c r="D23" s="83"/>
      <c r="E23" s="51"/>
      <c r="G23" s="106" t="s">
        <v>127</v>
      </c>
      <c r="H23" s="106" t="s">
        <v>201</v>
      </c>
      <c r="I23" s="106">
        <v>1</v>
      </c>
      <c r="J23" s="85" t="s">
        <v>104</v>
      </c>
      <c r="K23" s="108">
        <f>100000/468</f>
        <v>213.67521367521368</v>
      </c>
      <c r="L23" s="108">
        <f>K23*80</f>
        <v>17094.017094017094</v>
      </c>
    </row>
    <row r="24" spans="2:13" ht="29.4" thickTop="1" thickBot="1">
      <c r="B24" s="83"/>
      <c r="C24" s="83"/>
      <c r="D24" s="83"/>
      <c r="E24" s="51"/>
      <c r="G24" s="85" t="s">
        <v>128</v>
      </c>
      <c r="H24" s="85" t="s">
        <v>205</v>
      </c>
      <c r="I24" s="85">
        <v>1</v>
      </c>
      <c r="J24" s="85" t="s">
        <v>104</v>
      </c>
      <c r="K24" s="108">
        <f>75000/468</f>
        <v>160.25641025641025</v>
      </c>
      <c r="L24" s="108">
        <f t="shared" ref="L24:L25" si="1">K24*80</f>
        <v>12820.51282051282</v>
      </c>
    </row>
    <row r="25" spans="2:13" ht="48" thickTop="1" thickBot="1">
      <c r="B25" s="83"/>
      <c r="C25" s="83"/>
      <c r="D25" s="83"/>
      <c r="E25" s="51"/>
      <c r="G25" s="106" t="s">
        <v>129</v>
      </c>
      <c r="H25" s="106" t="s">
        <v>202</v>
      </c>
      <c r="I25" s="106">
        <v>1</v>
      </c>
      <c r="J25" s="85" t="s">
        <v>107</v>
      </c>
      <c r="K25" s="108">
        <f>60000/468</f>
        <v>128.2051282051282</v>
      </c>
      <c r="L25" s="108">
        <f t="shared" si="1"/>
        <v>10256.410256410256</v>
      </c>
      <c r="M25" s="6">
        <v>40000</v>
      </c>
    </row>
    <row r="26" spans="2:13" ht="29.4" thickTop="1" thickBot="1">
      <c r="B26" s="83"/>
      <c r="C26" s="83"/>
      <c r="D26" s="83"/>
      <c r="E26" s="51"/>
      <c r="G26" s="85" t="s">
        <v>130</v>
      </c>
      <c r="H26" s="85" t="s">
        <v>65</v>
      </c>
      <c r="I26" s="85">
        <v>5</v>
      </c>
      <c r="J26" s="85" t="s">
        <v>104</v>
      </c>
    </row>
    <row r="27" spans="2:13" ht="29.4" thickTop="1" thickBot="1">
      <c r="B27" s="83"/>
      <c r="C27" s="83"/>
      <c r="D27" s="83"/>
      <c r="E27" s="51"/>
      <c r="G27" s="85" t="s">
        <v>131</v>
      </c>
      <c r="H27" s="85" t="s">
        <v>60</v>
      </c>
      <c r="I27" s="85">
        <v>5</v>
      </c>
      <c r="J27" s="85" t="s">
        <v>104</v>
      </c>
    </row>
    <row r="28" spans="2:13" ht="16.8" thickTop="1" thickBot="1">
      <c r="G28" s="85" t="s">
        <v>132</v>
      </c>
      <c r="H28" s="85" t="s">
        <v>108</v>
      </c>
      <c r="I28" s="85">
        <v>1</v>
      </c>
      <c r="J28" s="85" t="s">
        <v>104</v>
      </c>
    </row>
    <row r="29" spans="2:13" ht="16.8" thickTop="1" thickBot="1">
      <c r="G29" s="85" t="s">
        <v>132</v>
      </c>
      <c r="H29" s="85" t="s">
        <v>109</v>
      </c>
      <c r="I29" s="85">
        <v>5</v>
      </c>
      <c r="J29" s="85" t="s">
        <v>104</v>
      </c>
    </row>
    <row r="30" spans="2:13" ht="16.8" thickTop="1" thickBot="1">
      <c r="G30" s="85" t="s">
        <v>133</v>
      </c>
      <c r="H30" s="85" t="s">
        <v>68</v>
      </c>
      <c r="I30" s="85">
        <v>5</v>
      </c>
      <c r="J30" s="85" t="s">
        <v>104</v>
      </c>
    </row>
    <row r="31" spans="2:13" ht="16.8" thickTop="1" thickBot="1">
      <c r="G31" s="85" t="s">
        <v>134</v>
      </c>
      <c r="H31" s="85" t="s">
        <v>110</v>
      </c>
      <c r="I31" s="85">
        <v>3</v>
      </c>
      <c r="J31" s="85" t="s">
        <v>104</v>
      </c>
    </row>
    <row r="32" spans="2:13" ht="16.8" thickTop="1" thickBot="1">
      <c r="G32" s="85" t="s">
        <v>135</v>
      </c>
      <c r="H32" s="85" t="s">
        <v>111</v>
      </c>
      <c r="I32" s="85">
        <v>5</v>
      </c>
      <c r="J32" s="85" t="s">
        <v>104</v>
      </c>
    </row>
    <row r="33" spans="7:13" ht="48" thickTop="1" thickBot="1">
      <c r="G33" s="85" t="s">
        <v>136</v>
      </c>
      <c r="H33" s="85" t="s">
        <v>80</v>
      </c>
      <c r="I33" s="85">
        <v>2</v>
      </c>
      <c r="J33" s="85" t="s">
        <v>107</v>
      </c>
      <c r="K33" s="108">
        <f>6400/468</f>
        <v>13.675213675213675</v>
      </c>
      <c r="L33" s="108">
        <f>K33*80</f>
        <v>1094.017094017094</v>
      </c>
      <c r="M33" s="6">
        <v>1500</v>
      </c>
    </row>
    <row r="34" spans="7:13" ht="16.8" thickTop="1" thickBot="1">
      <c r="G34" s="85" t="s">
        <v>136</v>
      </c>
      <c r="H34" s="85" t="s">
        <v>70</v>
      </c>
      <c r="I34" s="85">
        <v>6</v>
      </c>
      <c r="J34" s="85" t="s">
        <v>104</v>
      </c>
    </row>
    <row r="35" spans="7:13" ht="48" thickTop="1" thickBot="1">
      <c r="G35" s="85" t="s">
        <v>137</v>
      </c>
      <c r="H35" s="85" t="s">
        <v>82</v>
      </c>
      <c r="I35" s="85">
        <v>5</v>
      </c>
      <c r="J35" s="85" t="s">
        <v>213</v>
      </c>
      <c r="K35" s="108">
        <f>5200/468</f>
        <v>11.111111111111111</v>
      </c>
      <c r="L35" s="108">
        <f>K35*80</f>
        <v>888.88888888888891</v>
      </c>
      <c r="M35" s="6">
        <v>500</v>
      </c>
    </row>
    <row r="36" spans="7:13" ht="16.8" thickTop="1" thickBot="1">
      <c r="G36" s="85" t="s">
        <v>138</v>
      </c>
      <c r="H36" s="85" t="s">
        <v>64</v>
      </c>
      <c r="I36" s="85">
        <v>2000</v>
      </c>
      <c r="J36" s="85" t="s">
        <v>104</v>
      </c>
    </row>
    <row r="37" spans="7:13" ht="16.8" thickTop="1" thickBot="1">
      <c r="G37" s="85" t="s">
        <v>138</v>
      </c>
      <c r="H37" s="85" t="s">
        <v>112</v>
      </c>
      <c r="I37" s="85">
        <v>10</v>
      </c>
      <c r="J37" s="85" t="s">
        <v>104</v>
      </c>
    </row>
    <row r="38" spans="7:13" ht="16.8" thickTop="1" thickBot="1">
      <c r="G38" s="85" t="s">
        <v>122</v>
      </c>
      <c r="H38" s="85" t="s">
        <v>67</v>
      </c>
      <c r="I38" s="85">
        <v>10</v>
      </c>
      <c r="J38" s="85" t="s">
        <v>104</v>
      </c>
    </row>
    <row r="39" spans="7:13" ht="16.8" thickTop="1" thickBot="1">
      <c r="G39" s="85" t="s">
        <v>139</v>
      </c>
      <c r="H39" s="85" t="s">
        <v>74</v>
      </c>
      <c r="I39" s="85">
        <v>10</v>
      </c>
      <c r="J39" s="85" t="s">
        <v>104</v>
      </c>
    </row>
    <row r="40" spans="7:13" ht="16.8" thickTop="1" thickBot="1">
      <c r="G40" s="107" t="s">
        <v>114</v>
      </c>
      <c r="H40" s="107" t="s">
        <v>113</v>
      </c>
      <c r="I40" s="107">
        <v>8</v>
      </c>
      <c r="J40" s="85" t="s">
        <v>104</v>
      </c>
    </row>
    <row r="41" spans="7:13" ht="16.2" thickTop="1"/>
  </sheetData>
  <mergeCells count="2">
    <mergeCell ref="G1:J1"/>
    <mergeCell ref="B1:E1"/>
  </mergeCells>
  <phoneticPr fontId="20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W37"/>
  <sheetViews>
    <sheetView workbookViewId="0">
      <selection activeCell="A6" sqref="A6:B10"/>
    </sheetView>
  </sheetViews>
  <sheetFormatPr defaultRowHeight="15.6"/>
  <cols>
    <col min="1" max="1" width="14.44140625" style="27" bestFit="1" customWidth="1"/>
    <col min="2" max="2" width="9.5546875" style="27" bestFit="1" customWidth="1"/>
    <col min="3" max="4" width="11.6640625" style="27" bestFit="1" customWidth="1"/>
    <col min="5" max="5" width="8.88671875" style="27"/>
    <col min="6" max="6" width="9.5546875" style="27" bestFit="1" customWidth="1"/>
    <col min="7" max="7" width="5.5546875" style="27" bestFit="1" customWidth="1"/>
    <col min="8" max="8" width="9.5546875" style="27" bestFit="1" customWidth="1"/>
    <col min="9" max="9" width="8.6640625" style="27" bestFit="1" customWidth="1"/>
    <col min="10" max="10" width="9.5546875" style="27" bestFit="1" customWidth="1"/>
    <col min="11" max="11" width="12.88671875" style="27" bestFit="1" customWidth="1"/>
    <col min="12" max="12" width="5.6640625" style="27" bestFit="1" customWidth="1"/>
    <col min="13" max="15" width="7.5546875" style="27" bestFit="1" customWidth="1"/>
    <col min="16" max="16" width="9.5546875" style="27" bestFit="1" customWidth="1"/>
    <col min="17" max="21" width="9" style="27" customWidth="1"/>
    <col min="22" max="22" width="16" style="27" customWidth="1"/>
    <col min="23" max="23" width="14.77734375" style="27" customWidth="1"/>
    <col min="24" max="16384" width="8.88671875" style="27"/>
  </cols>
  <sheetData>
    <row r="1" spans="1:23" ht="47.4" thickTop="1">
      <c r="A1" s="20" t="s">
        <v>2</v>
      </c>
      <c r="B1" s="21" t="s">
        <v>89</v>
      </c>
      <c r="F1" s="93" t="s">
        <v>158</v>
      </c>
      <c r="G1" s="94" t="s">
        <v>159</v>
      </c>
      <c r="H1" s="94" t="s">
        <v>160</v>
      </c>
      <c r="I1" s="94" t="s">
        <v>161</v>
      </c>
      <c r="J1" s="94" t="s">
        <v>162</v>
      </c>
      <c r="K1" s="95" t="s">
        <v>163</v>
      </c>
      <c r="L1" s="94" t="s">
        <v>164</v>
      </c>
      <c r="M1" s="94" t="s">
        <v>165</v>
      </c>
      <c r="N1" s="94" t="s">
        <v>166</v>
      </c>
      <c r="O1" s="94" t="s">
        <v>167</v>
      </c>
      <c r="P1" s="96" t="s">
        <v>168</v>
      </c>
      <c r="U1" s="29"/>
      <c r="V1" s="29"/>
      <c r="W1" s="29"/>
    </row>
    <row r="2" spans="1:23">
      <c r="A2" s="7" t="s">
        <v>3</v>
      </c>
      <c r="B2" s="26" t="s">
        <v>90</v>
      </c>
      <c r="F2" s="182">
        <v>1</v>
      </c>
      <c r="G2" s="179">
        <v>0</v>
      </c>
      <c r="H2" s="97" t="s">
        <v>169</v>
      </c>
      <c r="I2" s="98">
        <v>0.375</v>
      </c>
      <c r="J2" s="97">
        <v>30</v>
      </c>
      <c r="K2" s="97" t="s">
        <v>170</v>
      </c>
      <c r="L2" s="179">
        <f>SUMPRODUCT(I2:I7,J2:J7)</f>
        <v>97.5</v>
      </c>
      <c r="M2" s="97">
        <f>J2/100</f>
        <v>0.3</v>
      </c>
      <c r="N2" s="179">
        <f>SUMPRODUCT(I2:I7,M2:M7)</f>
        <v>0.97499999999999987</v>
      </c>
      <c r="O2" s="181">
        <f>G8/N2</f>
        <v>76.923076923076934</v>
      </c>
      <c r="P2" s="169">
        <v>7500</v>
      </c>
    </row>
    <row r="3" spans="1:23" ht="16.2" thickBot="1">
      <c r="A3" s="8" t="s">
        <v>7</v>
      </c>
      <c r="B3" s="17" t="s">
        <v>91</v>
      </c>
      <c r="F3" s="183"/>
      <c r="G3" s="173"/>
      <c r="H3" s="97" t="s">
        <v>171</v>
      </c>
      <c r="I3" s="99">
        <v>0.25</v>
      </c>
      <c r="J3" s="97">
        <v>60</v>
      </c>
      <c r="K3" s="97" t="s">
        <v>170</v>
      </c>
      <c r="L3" s="173"/>
      <c r="M3" s="97">
        <f t="shared" ref="M3:M25" si="0">J3/100</f>
        <v>0.6</v>
      </c>
      <c r="N3" s="173"/>
      <c r="O3" s="176"/>
      <c r="P3" s="170"/>
      <c r="U3" s="30"/>
      <c r="V3" s="30"/>
      <c r="W3" s="30"/>
    </row>
    <row r="4" spans="1:23" ht="16.8" thickTop="1" thickBot="1">
      <c r="F4" s="183"/>
      <c r="G4" s="173"/>
      <c r="H4" s="97" t="s">
        <v>172</v>
      </c>
      <c r="I4" s="98">
        <v>0.125</v>
      </c>
      <c r="J4" s="97">
        <v>90</v>
      </c>
      <c r="K4" s="97" t="s">
        <v>170</v>
      </c>
      <c r="L4" s="173"/>
      <c r="M4" s="97">
        <f t="shared" si="0"/>
        <v>0.9</v>
      </c>
      <c r="N4" s="173"/>
      <c r="O4" s="176"/>
      <c r="P4" s="170"/>
      <c r="U4" s="30"/>
    </row>
    <row r="5" spans="1:23" ht="16.2" thickTop="1">
      <c r="A5" s="22" t="s">
        <v>8</v>
      </c>
      <c r="B5" s="23" t="s">
        <v>9</v>
      </c>
      <c r="C5" s="24" t="s">
        <v>10</v>
      </c>
      <c r="F5" s="183"/>
      <c r="G5" s="173"/>
      <c r="H5" s="97" t="s">
        <v>173</v>
      </c>
      <c r="I5" s="99">
        <v>0.15</v>
      </c>
      <c r="J5" s="97">
        <v>150</v>
      </c>
      <c r="K5" s="97" t="s">
        <v>170</v>
      </c>
      <c r="L5" s="173"/>
      <c r="M5" s="97">
        <f t="shared" si="0"/>
        <v>1.5</v>
      </c>
      <c r="N5" s="173"/>
      <c r="O5" s="176"/>
      <c r="P5" s="170"/>
      <c r="T5" s="30"/>
      <c r="U5" s="30"/>
    </row>
    <row r="6" spans="1:23">
      <c r="A6" s="3" t="s">
        <v>11</v>
      </c>
      <c r="B6" s="1">
        <v>210</v>
      </c>
      <c r="C6" s="4">
        <v>0</v>
      </c>
      <c r="F6" s="183"/>
      <c r="G6" s="173"/>
      <c r="H6" s="97" t="s">
        <v>174</v>
      </c>
      <c r="I6" s="98">
        <v>7.4999999999999997E-2</v>
      </c>
      <c r="J6" s="97">
        <v>300</v>
      </c>
      <c r="K6" s="97" t="s">
        <v>170</v>
      </c>
      <c r="L6" s="173"/>
      <c r="M6" s="97">
        <f t="shared" si="0"/>
        <v>3</v>
      </c>
      <c r="N6" s="173"/>
      <c r="O6" s="176"/>
      <c r="P6" s="170"/>
      <c r="T6" s="30"/>
      <c r="U6" s="30"/>
    </row>
    <row r="7" spans="1:23" ht="16.2" thickBot="1">
      <c r="A7" s="3" t="s">
        <v>12</v>
      </c>
      <c r="B7" s="1">
        <v>630</v>
      </c>
      <c r="C7" s="4">
        <v>1</v>
      </c>
      <c r="F7" s="184"/>
      <c r="G7" s="174"/>
      <c r="H7" s="100" t="s">
        <v>152</v>
      </c>
      <c r="I7" s="101">
        <v>2.5000000000000001E-2</v>
      </c>
      <c r="J7" s="100">
        <v>600</v>
      </c>
      <c r="K7" s="100" t="s">
        <v>170</v>
      </c>
      <c r="L7" s="174"/>
      <c r="M7" s="100">
        <f t="shared" si="0"/>
        <v>6</v>
      </c>
      <c r="N7" s="174"/>
      <c r="O7" s="177"/>
      <c r="P7" s="171"/>
      <c r="T7" s="30"/>
      <c r="U7" s="30"/>
    </row>
    <row r="8" spans="1:23" ht="16.2" thickTop="1">
      <c r="A8" s="3" t="s">
        <v>13</v>
      </c>
      <c r="B8" s="1">
        <v>1060</v>
      </c>
      <c r="C8" s="4">
        <v>6</v>
      </c>
      <c r="F8" s="185">
        <v>2</v>
      </c>
      <c r="G8" s="172">
        <v>75</v>
      </c>
      <c r="H8" s="94" t="s">
        <v>175</v>
      </c>
      <c r="I8" s="102">
        <v>0.375</v>
      </c>
      <c r="J8" s="94">
        <v>48</v>
      </c>
      <c r="K8" s="94" t="s">
        <v>170</v>
      </c>
      <c r="L8" s="172">
        <f t="shared" ref="L8" si="1">SUMPRODUCT(I8:I13,J8:J13)</f>
        <v>156</v>
      </c>
      <c r="M8" s="94">
        <f t="shared" si="0"/>
        <v>0.48</v>
      </c>
      <c r="N8" s="172">
        <f t="shared" ref="N8" si="2">SUMPRODUCT(I8:I13,M8:M13)</f>
        <v>1.5599999999999998</v>
      </c>
      <c r="O8" s="175">
        <f>(P8-P2)/L8+O2</f>
        <v>176.2820512820513</v>
      </c>
      <c r="P8" s="178">
        <v>23000</v>
      </c>
      <c r="T8" s="30"/>
      <c r="U8" s="30"/>
    </row>
    <row r="9" spans="1:23">
      <c r="A9" s="3" t="s">
        <v>14</v>
      </c>
      <c r="B9" s="1">
        <v>2520</v>
      </c>
      <c r="C9" s="4">
        <v>26</v>
      </c>
      <c r="F9" s="183"/>
      <c r="G9" s="173"/>
      <c r="H9" s="97" t="s">
        <v>176</v>
      </c>
      <c r="I9" s="99">
        <v>0.25</v>
      </c>
      <c r="J9" s="97">
        <v>96</v>
      </c>
      <c r="K9" s="97" t="s">
        <v>170</v>
      </c>
      <c r="L9" s="173"/>
      <c r="M9" s="97">
        <f t="shared" si="0"/>
        <v>0.96</v>
      </c>
      <c r="N9" s="173"/>
      <c r="O9" s="176"/>
      <c r="P9" s="170"/>
      <c r="T9" s="30"/>
      <c r="U9" s="30"/>
    </row>
    <row r="10" spans="1:23" ht="16.2" thickBot="1">
      <c r="A10" s="5" t="s">
        <v>15</v>
      </c>
      <c r="B10" s="9">
        <v>3980</v>
      </c>
      <c r="C10" s="13">
        <v>50</v>
      </c>
      <c r="F10" s="183"/>
      <c r="G10" s="173"/>
      <c r="H10" s="97" t="s">
        <v>177</v>
      </c>
      <c r="I10" s="98">
        <v>0.125</v>
      </c>
      <c r="J10" s="97">
        <v>144</v>
      </c>
      <c r="K10" s="97" t="s">
        <v>170</v>
      </c>
      <c r="L10" s="173"/>
      <c r="M10" s="97">
        <f t="shared" si="0"/>
        <v>1.44</v>
      </c>
      <c r="N10" s="173"/>
      <c r="O10" s="176"/>
      <c r="P10" s="170"/>
      <c r="T10" s="30"/>
      <c r="U10" s="30"/>
    </row>
    <row r="11" spans="1:23" ht="16.8" thickTop="1" thickBot="1">
      <c r="F11" s="183"/>
      <c r="G11" s="173"/>
      <c r="H11" s="97" t="s">
        <v>178</v>
      </c>
      <c r="I11" s="99">
        <v>0.15</v>
      </c>
      <c r="J11" s="97">
        <v>240</v>
      </c>
      <c r="K11" s="97" t="s">
        <v>170</v>
      </c>
      <c r="L11" s="173"/>
      <c r="M11" s="97">
        <f t="shared" si="0"/>
        <v>2.4</v>
      </c>
      <c r="N11" s="173"/>
      <c r="O11" s="176"/>
      <c r="P11" s="170"/>
      <c r="T11" s="30"/>
      <c r="U11" s="30"/>
    </row>
    <row r="12" spans="1:23" ht="16.2" thickTop="1">
      <c r="A12" s="148" t="s">
        <v>16</v>
      </c>
      <c r="B12" s="149"/>
      <c r="C12" s="150"/>
      <c r="F12" s="183"/>
      <c r="G12" s="173"/>
      <c r="H12" s="97" t="s">
        <v>179</v>
      </c>
      <c r="I12" s="98">
        <v>7.4999999999999997E-2</v>
      </c>
      <c r="J12" s="97">
        <v>480</v>
      </c>
      <c r="K12" s="97" t="s">
        <v>170</v>
      </c>
      <c r="L12" s="173"/>
      <c r="M12" s="97">
        <f t="shared" si="0"/>
        <v>4.8</v>
      </c>
      <c r="N12" s="173"/>
      <c r="O12" s="176"/>
      <c r="P12" s="170"/>
      <c r="T12" s="30"/>
      <c r="U12" s="30"/>
    </row>
    <row r="13" spans="1:23" ht="16.2" thickBot="1">
      <c r="A13" s="3" t="str">
        <f>"获得 1 " &amp; 抽奖道具</f>
        <v>获得 1 鱼饵</v>
      </c>
      <c r="B13" s="81">
        <v>5</v>
      </c>
      <c r="C13" s="4" t="s">
        <v>6</v>
      </c>
      <c r="F13" s="184"/>
      <c r="G13" s="174"/>
      <c r="H13" s="100" t="s">
        <v>153</v>
      </c>
      <c r="I13" s="101">
        <v>2.5000000000000001E-2</v>
      </c>
      <c r="J13" s="100">
        <v>960</v>
      </c>
      <c r="K13" s="100" t="s">
        <v>170</v>
      </c>
      <c r="L13" s="174"/>
      <c r="M13" s="100">
        <f t="shared" si="0"/>
        <v>9.6</v>
      </c>
      <c r="N13" s="174"/>
      <c r="O13" s="177"/>
      <c r="P13" s="171"/>
      <c r="T13" s="30"/>
      <c r="U13" s="30"/>
    </row>
    <row r="14" spans="1:23" ht="16.2" thickTop="1">
      <c r="A14" s="3" t="str">
        <f xml:space="preserve"> "1 " &amp; 高级兑换道具</f>
        <v>1 鱼王之证</v>
      </c>
      <c r="B14" s="81">
        <v>10</v>
      </c>
      <c r="C14" s="4" t="s">
        <v>6</v>
      </c>
      <c r="E14" s="82"/>
      <c r="F14" s="164">
        <v>3</v>
      </c>
      <c r="G14" s="155">
        <v>230</v>
      </c>
      <c r="H14" s="94" t="s">
        <v>180</v>
      </c>
      <c r="I14" s="102">
        <v>0.375</v>
      </c>
      <c r="J14" s="94">
        <v>80</v>
      </c>
      <c r="K14" s="94" t="s">
        <v>170</v>
      </c>
      <c r="L14" s="155">
        <f t="shared" ref="L14" si="3">SUMPRODUCT(I14:I19,J14:J19)</f>
        <v>234</v>
      </c>
      <c r="M14" s="94">
        <f t="shared" si="0"/>
        <v>0.8</v>
      </c>
      <c r="N14" s="155">
        <f t="shared" ref="N14" si="4">SUMPRODUCT(I14:I19,M14:M19)</f>
        <v>2.34</v>
      </c>
      <c r="O14" s="167">
        <f>(P14-P8)/L14+O8</f>
        <v>291.66666666666669</v>
      </c>
      <c r="P14" s="152">
        <v>50000</v>
      </c>
      <c r="T14" s="30"/>
      <c r="U14" s="30"/>
    </row>
    <row r="15" spans="1:23" ht="16.2" thickBot="1">
      <c r="A15" s="5"/>
      <c r="B15" s="9"/>
      <c r="C15" s="13"/>
      <c r="E15" s="82"/>
      <c r="F15" s="165"/>
      <c r="G15" s="156"/>
      <c r="H15" s="97" t="s">
        <v>181</v>
      </c>
      <c r="I15" s="99">
        <v>0.25</v>
      </c>
      <c r="J15" s="97">
        <v>120</v>
      </c>
      <c r="K15" s="97" t="s">
        <v>170</v>
      </c>
      <c r="L15" s="156"/>
      <c r="M15" s="97">
        <f t="shared" si="0"/>
        <v>1.2</v>
      </c>
      <c r="N15" s="156"/>
      <c r="O15" s="162"/>
      <c r="P15" s="153"/>
      <c r="T15" s="30"/>
      <c r="U15" s="30"/>
    </row>
    <row r="16" spans="1:23" ht="16.8" thickTop="1" thickBot="1">
      <c r="F16" s="165"/>
      <c r="G16" s="156"/>
      <c r="H16" s="97" t="s">
        <v>182</v>
      </c>
      <c r="I16" s="98">
        <v>0.125</v>
      </c>
      <c r="J16" s="97">
        <v>240</v>
      </c>
      <c r="K16" s="97" t="s">
        <v>170</v>
      </c>
      <c r="L16" s="156"/>
      <c r="M16" s="97">
        <f t="shared" si="0"/>
        <v>2.4</v>
      </c>
      <c r="N16" s="156"/>
      <c r="O16" s="162"/>
      <c r="P16" s="153"/>
      <c r="T16" s="30"/>
      <c r="U16" s="30"/>
    </row>
    <row r="17" spans="1:21" ht="16.2" thickTop="1">
      <c r="A17" s="142" t="s">
        <v>17</v>
      </c>
      <c r="B17" s="143"/>
      <c r="C17" s="144"/>
      <c r="F17" s="165"/>
      <c r="G17" s="156"/>
      <c r="H17" s="97" t="s">
        <v>183</v>
      </c>
      <c r="I17" s="99">
        <v>0.15</v>
      </c>
      <c r="J17" s="97">
        <v>400</v>
      </c>
      <c r="K17" s="97" t="s">
        <v>170</v>
      </c>
      <c r="L17" s="156"/>
      <c r="M17" s="97">
        <f t="shared" si="0"/>
        <v>4</v>
      </c>
      <c r="N17" s="156"/>
      <c r="O17" s="162"/>
      <c r="P17" s="153"/>
      <c r="T17" s="30"/>
      <c r="U17" s="30"/>
    </row>
    <row r="18" spans="1:21">
      <c r="A18" s="3" t="str">
        <f>"1"&amp; 抽奖道具</f>
        <v>1鱼饵</v>
      </c>
      <c r="B18" s="1">
        <v>100</v>
      </c>
      <c r="C18" s="4" t="s">
        <v>18</v>
      </c>
      <c r="F18" s="165"/>
      <c r="G18" s="156"/>
      <c r="H18" s="97" t="s">
        <v>184</v>
      </c>
      <c r="I18" s="98">
        <v>7.4999999999999997E-2</v>
      </c>
      <c r="J18" s="97">
        <v>640</v>
      </c>
      <c r="K18" s="97" t="s">
        <v>170</v>
      </c>
      <c r="L18" s="156"/>
      <c r="M18" s="97">
        <f t="shared" si="0"/>
        <v>6.4</v>
      </c>
      <c r="N18" s="156"/>
      <c r="O18" s="162"/>
      <c r="P18" s="153"/>
      <c r="T18" s="30"/>
      <c r="U18" s="30"/>
    </row>
    <row r="19" spans="1:21" ht="16.2" thickBot="1">
      <c r="A19" s="5" t="s">
        <v>19</v>
      </c>
      <c r="B19" s="9">
        <v>80</v>
      </c>
      <c r="C19" s="13" t="s">
        <v>20</v>
      </c>
      <c r="F19" s="166"/>
      <c r="G19" s="157"/>
      <c r="H19" s="100" t="s">
        <v>154</v>
      </c>
      <c r="I19" s="101">
        <v>2.5000000000000001E-2</v>
      </c>
      <c r="J19" s="100">
        <v>1440</v>
      </c>
      <c r="K19" s="100" t="s">
        <v>170</v>
      </c>
      <c r="L19" s="157"/>
      <c r="M19" s="100">
        <f t="shared" si="0"/>
        <v>14.4</v>
      </c>
      <c r="N19" s="157"/>
      <c r="O19" s="163"/>
      <c r="P19" s="154"/>
      <c r="T19" s="30"/>
      <c r="U19" s="30"/>
    </row>
    <row r="20" spans="1:21" ht="16.8" thickTop="1" thickBot="1">
      <c r="F20" s="180">
        <v>4</v>
      </c>
      <c r="G20" s="160">
        <v>500</v>
      </c>
      <c r="H20" s="103" t="s">
        <v>185</v>
      </c>
      <c r="I20" s="104">
        <v>0.375</v>
      </c>
      <c r="J20" s="103">
        <v>160</v>
      </c>
      <c r="K20" s="103" t="s">
        <v>170</v>
      </c>
      <c r="L20" s="160">
        <f t="shared" ref="L20" si="5">SUMPRODUCT(I20:I25,J20:J25)</f>
        <v>468</v>
      </c>
      <c r="M20" s="103">
        <f t="shared" si="0"/>
        <v>1.6</v>
      </c>
      <c r="N20" s="160">
        <f t="shared" ref="N20" si="6">SUMPRODUCT(I20:I25,M20:M25)</f>
        <v>4.68</v>
      </c>
      <c r="O20" s="161">
        <f>G43/N20</f>
        <v>0</v>
      </c>
      <c r="P20" s="168">
        <v>0</v>
      </c>
      <c r="T20" s="30"/>
      <c r="U20" s="30"/>
    </row>
    <row r="21" spans="1:21" ht="16.2" thickTop="1">
      <c r="A21" s="145" t="s">
        <v>21</v>
      </c>
      <c r="B21" s="146"/>
      <c r="C21" s="146"/>
      <c r="D21" s="147"/>
      <c r="F21" s="165"/>
      <c r="G21" s="156"/>
      <c r="H21" s="97" t="s">
        <v>186</v>
      </c>
      <c r="I21" s="99">
        <v>0.25</v>
      </c>
      <c r="J21" s="97">
        <v>240</v>
      </c>
      <c r="K21" s="97" t="s">
        <v>170</v>
      </c>
      <c r="L21" s="156"/>
      <c r="M21" s="97">
        <f t="shared" si="0"/>
        <v>2.4</v>
      </c>
      <c r="N21" s="156"/>
      <c r="O21" s="162"/>
      <c r="P21" s="153"/>
      <c r="T21" s="30"/>
      <c r="U21" s="30"/>
    </row>
    <row r="22" spans="1:21">
      <c r="A22" s="3" t="s">
        <v>4</v>
      </c>
      <c r="B22" s="1" t="s">
        <v>5</v>
      </c>
      <c r="C22" s="1" t="s">
        <v>22</v>
      </c>
      <c r="D22" s="4" t="s">
        <v>23</v>
      </c>
      <c r="F22" s="165"/>
      <c r="G22" s="156"/>
      <c r="H22" s="97" t="s">
        <v>187</v>
      </c>
      <c r="I22" s="98">
        <v>0.125</v>
      </c>
      <c r="J22" s="97">
        <v>480</v>
      </c>
      <c r="K22" s="97" t="s">
        <v>170</v>
      </c>
      <c r="L22" s="156"/>
      <c r="M22" s="97">
        <f t="shared" si="0"/>
        <v>4.8</v>
      </c>
      <c r="N22" s="156"/>
      <c r="O22" s="162"/>
      <c r="P22" s="153"/>
      <c r="T22" s="30"/>
      <c r="U22" s="30"/>
    </row>
    <row r="23" spans="1:21">
      <c r="A23" s="3">
        <v>1</v>
      </c>
      <c r="B23" s="2">
        <v>0.95</v>
      </c>
      <c r="C23" s="1">
        <f>B23*A23</f>
        <v>0.95</v>
      </c>
      <c r="D23" s="4">
        <f>C23*积分规则2</f>
        <v>9.5</v>
      </c>
      <c r="F23" s="165"/>
      <c r="G23" s="156"/>
      <c r="H23" s="97" t="s">
        <v>188</v>
      </c>
      <c r="I23" s="99">
        <v>0.15</v>
      </c>
      <c r="J23" s="97">
        <v>800</v>
      </c>
      <c r="K23" s="97" t="s">
        <v>170</v>
      </c>
      <c r="L23" s="156"/>
      <c r="M23" s="97">
        <f t="shared" si="0"/>
        <v>8</v>
      </c>
      <c r="N23" s="156"/>
      <c r="O23" s="162"/>
      <c r="P23" s="153"/>
      <c r="T23" s="30"/>
      <c r="U23" s="30"/>
    </row>
    <row r="24" spans="1:21">
      <c r="A24" s="3">
        <v>2</v>
      </c>
      <c r="B24" s="18">
        <v>4.9000000000000002E-2</v>
      </c>
      <c r="C24" s="1">
        <f t="shared" ref="C24:C25" si="7">B24*A24</f>
        <v>9.8000000000000004E-2</v>
      </c>
      <c r="D24" s="4">
        <f>C24*积分规则2</f>
        <v>0.98</v>
      </c>
      <c r="F24" s="165"/>
      <c r="G24" s="156"/>
      <c r="H24" s="97" t="s">
        <v>189</v>
      </c>
      <c r="I24" s="98">
        <v>7.4999999999999997E-2</v>
      </c>
      <c r="J24" s="97">
        <v>1280</v>
      </c>
      <c r="K24" s="97" t="s">
        <v>170</v>
      </c>
      <c r="L24" s="156"/>
      <c r="M24" s="97">
        <f t="shared" si="0"/>
        <v>12.8</v>
      </c>
      <c r="N24" s="156"/>
      <c r="O24" s="162"/>
      <c r="P24" s="153"/>
    </row>
    <row r="25" spans="1:21" ht="16.2" thickBot="1">
      <c r="A25" s="3">
        <v>3</v>
      </c>
      <c r="B25" s="19">
        <v>1E-3</v>
      </c>
      <c r="C25" s="1">
        <f t="shared" si="7"/>
        <v>3.0000000000000001E-3</v>
      </c>
      <c r="D25" s="4">
        <f>C25*积分规则2</f>
        <v>0.03</v>
      </c>
      <c r="F25" s="166"/>
      <c r="G25" s="157"/>
      <c r="H25" s="100" t="s">
        <v>155</v>
      </c>
      <c r="I25" s="101">
        <v>2.5000000000000001E-2</v>
      </c>
      <c r="J25" s="100">
        <v>2880</v>
      </c>
      <c r="K25" s="100" t="s">
        <v>170</v>
      </c>
      <c r="L25" s="157"/>
      <c r="M25" s="100">
        <f t="shared" si="0"/>
        <v>28.8</v>
      </c>
      <c r="N25" s="157"/>
      <c r="O25" s="163"/>
      <c r="P25" s="154"/>
    </row>
    <row r="26" spans="1:21" ht="16.8" thickTop="1" thickBot="1">
      <c r="A26" s="5"/>
      <c r="B26" s="11" t="s">
        <v>1</v>
      </c>
      <c r="C26" s="11">
        <f>SUM(C23:C25)</f>
        <v>1.0509999999999999</v>
      </c>
      <c r="D26" s="12">
        <f>C26*积分规则2</f>
        <v>10.51</v>
      </c>
    </row>
    <row r="27" spans="1:21" ht="16.8" thickTop="1" thickBot="1">
      <c r="F27" s="158" t="s">
        <v>87</v>
      </c>
      <c r="G27" s="158"/>
      <c r="H27" s="158"/>
      <c r="I27" s="158"/>
    </row>
    <row r="28" spans="1:21" ht="16.2" thickTop="1">
      <c r="A28" s="31" t="s">
        <v>24</v>
      </c>
      <c r="B28" s="32" t="s">
        <v>0</v>
      </c>
      <c r="F28" s="27" t="s">
        <v>86</v>
      </c>
      <c r="G28" s="151" t="s">
        <v>84</v>
      </c>
      <c r="H28" s="151"/>
      <c r="I28" s="27" t="s">
        <v>85</v>
      </c>
    </row>
    <row r="29" spans="1:21">
      <c r="A29" s="3">
        <v>6</v>
      </c>
      <c r="B29" s="4">
        <v>100</v>
      </c>
      <c r="F29" s="82" t="str">
        <f>高级兑换道具</f>
        <v>鱼王之证</v>
      </c>
      <c r="G29" s="159">
        <v>2.5000000000000001E-2</v>
      </c>
      <c r="H29" s="159"/>
      <c r="I29" s="87">
        <v>2.5000000000000001E-2</v>
      </c>
    </row>
    <row r="30" spans="1:21">
      <c r="A30" s="3">
        <v>30</v>
      </c>
      <c r="B30" s="4">
        <v>500</v>
      </c>
      <c r="F30" s="27" t="s">
        <v>156</v>
      </c>
      <c r="G30" s="151" t="s">
        <v>157</v>
      </c>
      <c r="H30" s="151"/>
      <c r="I30" s="86">
        <v>0.25</v>
      </c>
    </row>
    <row r="31" spans="1:21">
      <c r="A31" s="3">
        <v>68</v>
      </c>
      <c r="B31" s="4">
        <v>1000</v>
      </c>
    </row>
    <row r="32" spans="1:21">
      <c r="A32" s="3">
        <v>98</v>
      </c>
      <c r="B32" s="4">
        <v>1500</v>
      </c>
    </row>
    <row r="33" spans="1:2">
      <c r="A33" s="3">
        <v>128</v>
      </c>
      <c r="B33" s="4">
        <v>2000</v>
      </c>
    </row>
    <row r="34" spans="1:2">
      <c r="A34" s="3">
        <v>198</v>
      </c>
      <c r="B34" s="4">
        <v>3000</v>
      </c>
    </row>
    <row r="35" spans="1:2">
      <c r="A35" s="3">
        <v>328</v>
      </c>
      <c r="B35" s="4">
        <v>5000</v>
      </c>
    </row>
    <row r="36" spans="1:2" ht="16.2" thickBot="1">
      <c r="A36" s="5">
        <v>648</v>
      </c>
      <c r="B36" s="13">
        <v>10000</v>
      </c>
    </row>
    <row r="37" spans="1:2" ht="16.2" thickTop="1"/>
  </sheetData>
  <mergeCells count="31">
    <mergeCell ref="F20:F25"/>
    <mergeCell ref="G20:G25"/>
    <mergeCell ref="L20:L25"/>
    <mergeCell ref="N2:N7"/>
    <mergeCell ref="O2:O7"/>
    <mergeCell ref="F2:F7"/>
    <mergeCell ref="G2:G7"/>
    <mergeCell ref="F8:F13"/>
    <mergeCell ref="G8:G13"/>
    <mergeCell ref="P2:P7"/>
    <mergeCell ref="L8:L13"/>
    <mergeCell ref="N8:N13"/>
    <mergeCell ref="O8:O13"/>
    <mergeCell ref="P8:P13"/>
    <mergeCell ref="L2:L7"/>
    <mergeCell ref="A17:C17"/>
    <mergeCell ref="A21:D21"/>
    <mergeCell ref="A12:C12"/>
    <mergeCell ref="G30:H30"/>
    <mergeCell ref="P14:P19"/>
    <mergeCell ref="L14:L19"/>
    <mergeCell ref="F27:I27"/>
    <mergeCell ref="G28:H28"/>
    <mergeCell ref="G29:H29"/>
    <mergeCell ref="N20:N25"/>
    <mergeCell ref="O20:O25"/>
    <mergeCell ref="F14:F19"/>
    <mergeCell ref="G14:G19"/>
    <mergeCell ref="N14:N19"/>
    <mergeCell ref="O14:O19"/>
    <mergeCell ref="P20:P25"/>
  </mergeCells>
  <phoneticPr fontId="20" type="noConversion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B1:S75"/>
  <sheetViews>
    <sheetView topLeftCell="A4" workbookViewId="0">
      <selection activeCell="F27" sqref="F27"/>
    </sheetView>
  </sheetViews>
  <sheetFormatPr defaultRowHeight="15.6"/>
  <cols>
    <col min="1" max="1" width="3.77734375" style="1" customWidth="1"/>
    <col min="2" max="2" width="16.109375" style="1" customWidth="1"/>
    <col min="3" max="16" width="10.77734375" style="1" customWidth="1"/>
    <col min="17" max="17" width="7.77734375" style="1" customWidth="1"/>
    <col min="18" max="18" width="13.5546875" style="1" customWidth="1"/>
    <col min="19" max="19" width="9.88671875" style="1" customWidth="1"/>
    <col min="20" max="20" width="13.6640625" style="1" customWidth="1"/>
    <col min="21" max="21" width="14.6640625" style="1" customWidth="1"/>
    <col min="22" max="16384" width="8.88671875" style="1"/>
  </cols>
  <sheetData>
    <row r="1" spans="2:16" ht="16.2" thickBot="1"/>
    <row r="2" spans="2:16" ht="16.2" thickTop="1">
      <c r="B2" s="14"/>
      <c r="C2" s="186" t="s">
        <v>25</v>
      </c>
      <c r="D2" s="187"/>
      <c r="E2" s="186" t="s">
        <v>26</v>
      </c>
      <c r="F2" s="187"/>
      <c r="G2" s="186" t="s">
        <v>27</v>
      </c>
      <c r="H2" s="187"/>
      <c r="I2" s="186" t="s">
        <v>28</v>
      </c>
      <c r="J2" s="187"/>
      <c r="K2" s="186" t="s">
        <v>29</v>
      </c>
      <c r="L2" s="187"/>
      <c r="M2" s="186" t="s">
        <v>30</v>
      </c>
      <c r="N2" s="187"/>
      <c r="O2" s="186" t="s">
        <v>31</v>
      </c>
      <c r="P2" s="187"/>
    </row>
    <row r="3" spans="2:16" ht="16.2" thickBot="1">
      <c r="B3" s="15"/>
      <c r="C3" s="3" t="str">
        <f>抽奖道具</f>
        <v>鱼饵</v>
      </c>
      <c r="D3" s="4" t="s">
        <v>6</v>
      </c>
      <c r="E3" s="3" t="str">
        <f>抽奖道具</f>
        <v>鱼饵</v>
      </c>
      <c r="F3" s="4" t="s">
        <v>6</v>
      </c>
      <c r="G3" s="3" t="str">
        <f>抽奖道具</f>
        <v>鱼饵</v>
      </c>
      <c r="H3" s="4" t="s">
        <v>6</v>
      </c>
      <c r="I3" s="3" t="str">
        <f>抽奖道具</f>
        <v>鱼饵</v>
      </c>
      <c r="J3" s="4" t="s">
        <v>6</v>
      </c>
      <c r="K3" s="3" t="str">
        <f>抽奖道具</f>
        <v>鱼饵</v>
      </c>
      <c r="L3" s="4" t="s">
        <v>6</v>
      </c>
      <c r="M3" s="3" t="str">
        <f>抽奖道具</f>
        <v>鱼饵</v>
      </c>
      <c r="N3" s="4" t="s">
        <v>6</v>
      </c>
      <c r="O3" s="3" t="str">
        <f>抽奖道具</f>
        <v>鱼饵</v>
      </c>
      <c r="P3" s="4" t="s">
        <v>6</v>
      </c>
    </row>
    <row r="4" spans="2:16" ht="16.2" thickTop="1">
      <c r="B4" s="58" t="s">
        <v>53</v>
      </c>
      <c r="C4" s="3">
        <v>5</v>
      </c>
      <c r="D4" s="4">
        <f t="shared" ref="D4:P12" si="0">C4*积分规则1</f>
        <v>25</v>
      </c>
      <c r="E4" s="3"/>
      <c r="F4" s="4">
        <f t="shared" ref="F4:F12" si="1">E4*积分规则1</f>
        <v>0</v>
      </c>
      <c r="G4" s="3"/>
      <c r="H4" s="4">
        <f t="shared" ref="H4:H12" si="2">G4*积分规则1</f>
        <v>0</v>
      </c>
      <c r="I4" s="3"/>
      <c r="J4" s="4">
        <f t="shared" ref="J4:J12" si="3">I4*积分规则1</f>
        <v>0</v>
      </c>
      <c r="K4" s="3"/>
      <c r="L4" s="4">
        <f t="shared" ref="L4:L12" si="4">K4*积分规则1</f>
        <v>0</v>
      </c>
      <c r="M4" s="3"/>
      <c r="N4" s="4">
        <f t="shared" ref="N4:N12" si="5">M4*积分规则1</f>
        <v>0</v>
      </c>
      <c r="O4" s="3"/>
      <c r="P4" s="4">
        <f t="shared" ref="P4:P12" si="6">O4*积分规则1</f>
        <v>0</v>
      </c>
    </row>
    <row r="5" spans="2:16">
      <c r="B5" s="15" t="s">
        <v>32</v>
      </c>
      <c r="C5" s="3">
        <v>40</v>
      </c>
      <c r="D5" s="4">
        <f t="shared" si="0"/>
        <v>200</v>
      </c>
      <c r="E5" s="3">
        <v>40</v>
      </c>
      <c r="F5" s="4">
        <f t="shared" si="1"/>
        <v>200</v>
      </c>
      <c r="G5" s="3">
        <v>40</v>
      </c>
      <c r="H5" s="4">
        <f t="shared" si="2"/>
        <v>200</v>
      </c>
      <c r="I5" s="3">
        <v>40</v>
      </c>
      <c r="J5" s="4">
        <f t="shared" si="3"/>
        <v>200</v>
      </c>
      <c r="K5" s="3">
        <v>40</v>
      </c>
      <c r="L5" s="4">
        <f t="shared" si="4"/>
        <v>200</v>
      </c>
      <c r="M5" s="3">
        <v>40</v>
      </c>
      <c r="N5" s="4">
        <f t="shared" si="5"/>
        <v>200</v>
      </c>
      <c r="O5" s="3">
        <v>40</v>
      </c>
      <c r="P5" s="4">
        <f t="shared" si="6"/>
        <v>200</v>
      </c>
    </row>
    <row r="6" spans="2:16">
      <c r="B6" s="16" t="s">
        <v>17</v>
      </c>
      <c r="C6" s="3">
        <v>80</v>
      </c>
      <c r="D6" s="4">
        <f t="shared" si="0"/>
        <v>400</v>
      </c>
      <c r="E6" s="3">
        <v>80</v>
      </c>
      <c r="F6" s="4">
        <f t="shared" si="1"/>
        <v>400</v>
      </c>
      <c r="G6" s="3">
        <v>80</v>
      </c>
      <c r="H6" s="4">
        <f t="shared" si="2"/>
        <v>400</v>
      </c>
      <c r="I6" s="3">
        <v>80</v>
      </c>
      <c r="J6" s="4">
        <f t="shared" si="3"/>
        <v>400</v>
      </c>
      <c r="K6" s="3">
        <v>80</v>
      </c>
      <c r="L6" s="4">
        <f t="shared" si="4"/>
        <v>400</v>
      </c>
      <c r="M6" s="3">
        <v>80</v>
      </c>
      <c r="N6" s="4">
        <f t="shared" si="5"/>
        <v>400</v>
      </c>
      <c r="O6" s="3">
        <v>80</v>
      </c>
      <c r="P6" s="4">
        <f t="shared" si="6"/>
        <v>400</v>
      </c>
    </row>
    <row r="7" spans="2:16">
      <c r="B7" s="80" t="s">
        <v>49</v>
      </c>
      <c r="C7" s="3"/>
      <c r="D7" s="4">
        <f t="shared" si="0"/>
        <v>0</v>
      </c>
      <c r="E7" s="3"/>
      <c r="F7" s="4">
        <f t="shared" si="1"/>
        <v>0</v>
      </c>
      <c r="G7" s="3"/>
      <c r="H7" s="4">
        <f t="shared" si="2"/>
        <v>0</v>
      </c>
      <c r="I7" s="3">
        <v>25</v>
      </c>
      <c r="J7" s="4">
        <f t="shared" si="3"/>
        <v>125</v>
      </c>
      <c r="K7" s="3">
        <v>0</v>
      </c>
      <c r="L7" s="4">
        <f t="shared" si="4"/>
        <v>0</v>
      </c>
      <c r="M7" s="3">
        <v>0</v>
      </c>
      <c r="N7" s="4">
        <f t="shared" si="5"/>
        <v>0</v>
      </c>
      <c r="O7" s="3">
        <v>0</v>
      </c>
      <c r="P7" s="4">
        <f t="shared" si="6"/>
        <v>0</v>
      </c>
    </row>
    <row r="8" spans="2:16">
      <c r="B8" s="15" t="s">
        <v>50</v>
      </c>
      <c r="C8" s="3"/>
      <c r="D8" s="4">
        <f t="shared" si="0"/>
        <v>0</v>
      </c>
      <c r="E8" s="3"/>
      <c r="F8" s="4">
        <f t="shared" si="1"/>
        <v>0</v>
      </c>
      <c r="G8" s="3"/>
      <c r="H8" s="4">
        <f t="shared" si="2"/>
        <v>0</v>
      </c>
      <c r="I8" s="3"/>
      <c r="J8" s="4">
        <f t="shared" si="3"/>
        <v>0</v>
      </c>
      <c r="K8" s="3"/>
      <c r="L8" s="4">
        <f t="shared" si="4"/>
        <v>0</v>
      </c>
      <c r="M8" s="3"/>
      <c r="N8" s="4">
        <f t="shared" si="5"/>
        <v>0</v>
      </c>
      <c r="O8" s="3"/>
      <c r="P8" s="4">
        <f t="shared" si="6"/>
        <v>0</v>
      </c>
    </row>
    <row r="9" spans="2:16">
      <c r="B9" s="15" t="s">
        <v>58</v>
      </c>
      <c r="C9" s="3">
        <v>0</v>
      </c>
      <c r="D9" s="4">
        <f t="shared" si="0"/>
        <v>0</v>
      </c>
      <c r="E9" s="3">
        <v>0</v>
      </c>
      <c r="F9" s="4">
        <f t="shared" si="0"/>
        <v>0</v>
      </c>
      <c r="G9" s="3">
        <v>0</v>
      </c>
      <c r="H9" s="4">
        <f t="shared" si="0"/>
        <v>0</v>
      </c>
      <c r="I9" s="3">
        <v>0</v>
      </c>
      <c r="J9" s="4">
        <f t="shared" si="0"/>
        <v>0</v>
      </c>
      <c r="K9" s="3">
        <v>0</v>
      </c>
      <c r="L9" s="4">
        <f t="shared" si="0"/>
        <v>0</v>
      </c>
      <c r="M9" s="3">
        <v>0</v>
      </c>
      <c r="N9" s="4">
        <f t="shared" si="0"/>
        <v>0</v>
      </c>
      <c r="O9" s="3">
        <v>0</v>
      </c>
      <c r="P9" s="4">
        <f t="shared" si="0"/>
        <v>0</v>
      </c>
    </row>
    <row r="10" spans="2:16" ht="16.2" thickBot="1">
      <c r="B10" s="59" t="s">
        <v>194</v>
      </c>
      <c r="C10" s="3">
        <v>0</v>
      </c>
      <c r="D10" s="4">
        <f>C10*积分规则1</f>
        <v>0</v>
      </c>
      <c r="E10" s="3">
        <v>0</v>
      </c>
      <c r="F10" s="4">
        <f>E10*积分规则1</f>
        <v>0</v>
      </c>
      <c r="G10" s="3">
        <v>0</v>
      </c>
      <c r="H10" s="4">
        <f>G10*积分规则1</f>
        <v>0</v>
      </c>
      <c r="I10" s="3">
        <v>60</v>
      </c>
      <c r="J10" s="4">
        <f>I10*积分规则1</f>
        <v>300</v>
      </c>
      <c r="K10" s="3">
        <v>70</v>
      </c>
      <c r="L10" s="4">
        <f>K10*积分规则1</f>
        <v>350</v>
      </c>
      <c r="M10" s="3">
        <v>70</v>
      </c>
      <c r="N10" s="4">
        <f>M10*积分规则1</f>
        <v>350</v>
      </c>
      <c r="O10" s="3">
        <v>0</v>
      </c>
      <c r="P10" s="4">
        <f>O10*积分规则1</f>
        <v>0</v>
      </c>
    </row>
    <row r="11" spans="2:16" ht="16.2" thickTop="1">
      <c r="B11" s="60" t="s">
        <v>51</v>
      </c>
      <c r="C11" s="3"/>
      <c r="D11" s="4">
        <f t="shared" si="0"/>
        <v>0</v>
      </c>
      <c r="E11" s="3"/>
      <c r="F11" s="4">
        <f t="shared" si="1"/>
        <v>0</v>
      </c>
      <c r="G11" s="3"/>
      <c r="H11" s="4">
        <f t="shared" si="2"/>
        <v>0</v>
      </c>
      <c r="I11" s="3"/>
      <c r="J11" s="4">
        <f t="shared" si="3"/>
        <v>0</v>
      </c>
      <c r="K11" s="3"/>
      <c r="L11" s="4">
        <f t="shared" si="4"/>
        <v>0</v>
      </c>
      <c r="M11" s="3"/>
      <c r="N11" s="4">
        <f t="shared" si="5"/>
        <v>0</v>
      </c>
      <c r="O11" s="3"/>
      <c r="P11" s="4">
        <f t="shared" si="6"/>
        <v>0</v>
      </c>
    </row>
    <row r="12" spans="2:16" ht="16.2" thickBot="1">
      <c r="B12" s="61" t="s">
        <v>52</v>
      </c>
      <c r="C12" s="3"/>
      <c r="D12" s="4">
        <f t="shared" si="0"/>
        <v>0</v>
      </c>
      <c r="E12" s="3"/>
      <c r="F12" s="4">
        <f t="shared" si="1"/>
        <v>0</v>
      </c>
      <c r="G12" s="3"/>
      <c r="H12" s="4">
        <f t="shared" si="2"/>
        <v>0</v>
      </c>
      <c r="I12" s="3"/>
      <c r="J12" s="4">
        <f t="shared" si="3"/>
        <v>0</v>
      </c>
      <c r="K12" s="3"/>
      <c r="L12" s="4">
        <f t="shared" si="4"/>
        <v>0</v>
      </c>
      <c r="M12" s="3"/>
      <c r="N12" s="4">
        <f t="shared" si="5"/>
        <v>0</v>
      </c>
      <c r="O12" s="3"/>
      <c r="P12" s="4">
        <f t="shared" si="6"/>
        <v>0</v>
      </c>
    </row>
    <row r="13" spans="2:16" ht="16.2" thickTop="1">
      <c r="B13" s="69" t="str">
        <f>"使用"&amp;抽奖道具</f>
        <v>使用鱼饵</v>
      </c>
      <c r="C13" s="3">
        <v>40</v>
      </c>
      <c r="D13" s="4">
        <f>C13*积分规则3</f>
        <v>10</v>
      </c>
      <c r="E13" s="3">
        <v>120</v>
      </c>
      <c r="F13" s="4">
        <f>E13*积分规则3</f>
        <v>30</v>
      </c>
      <c r="G13" s="3">
        <v>120</v>
      </c>
      <c r="H13" s="4">
        <f>G13*积分规则3</f>
        <v>30</v>
      </c>
      <c r="I13" s="3">
        <v>290</v>
      </c>
      <c r="J13" s="4">
        <f>I13*积分规则3</f>
        <v>72.5</v>
      </c>
      <c r="K13" s="3">
        <v>190</v>
      </c>
      <c r="L13" s="4">
        <f>K13*积分规则3</f>
        <v>47.5</v>
      </c>
      <c r="M13" s="3">
        <v>190</v>
      </c>
      <c r="N13" s="4">
        <f>M13*积分规则3</f>
        <v>47.5</v>
      </c>
      <c r="O13" s="3">
        <v>120</v>
      </c>
      <c r="P13" s="4">
        <f>O13*积分规则3</f>
        <v>30</v>
      </c>
    </row>
    <row r="14" spans="2:16" ht="16.2" thickBot="1">
      <c r="B14" s="62" t="str">
        <f>"剩余"&amp;抽奖道具</f>
        <v>剩余鱼饵</v>
      </c>
      <c r="C14" s="3">
        <f>C22-C13</f>
        <v>85</v>
      </c>
      <c r="D14" s="4"/>
      <c r="E14" s="3">
        <f>C14+SUM(E4:E12)-E13</f>
        <v>85</v>
      </c>
      <c r="F14" s="4"/>
      <c r="G14" s="3">
        <f>E14+SUM(G4:G12)-G13</f>
        <v>85</v>
      </c>
      <c r="H14" s="4"/>
      <c r="I14" s="3">
        <f>G14+SUM(I4:I12)-I13</f>
        <v>0</v>
      </c>
      <c r="J14" s="4"/>
      <c r="K14" s="3">
        <f>I14+SUM(K4:K12)-K13</f>
        <v>0</v>
      </c>
      <c r="L14" s="4"/>
      <c r="M14" s="3">
        <f>K14+SUM(M4:M12)-M13</f>
        <v>0</v>
      </c>
      <c r="N14" s="4"/>
      <c r="O14" s="3">
        <f>M14+SUM(O4:O12)-O13</f>
        <v>0</v>
      </c>
      <c r="P14" s="4"/>
    </row>
    <row r="15" spans="2:16" ht="16.2" thickTop="1">
      <c r="B15" s="63" t="s">
        <v>33</v>
      </c>
      <c r="C15" s="3">
        <v>0</v>
      </c>
      <c r="D15" s="4">
        <f>C15*随机箱积分</f>
        <v>0</v>
      </c>
      <c r="E15" s="3">
        <v>0</v>
      </c>
      <c r="F15" s="4">
        <f>E15*随机箱积分</f>
        <v>0</v>
      </c>
      <c r="G15" s="3">
        <v>0</v>
      </c>
      <c r="H15" s="4">
        <f>G15*随机箱积分</f>
        <v>0</v>
      </c>
      <c r="I15" s="3">
        <v>0</v>
      </c>
      <c r="J15" s="4">
        <f>I15*随机箱积分</f>
        <v>0</v>
      </c>
      <c r="K15" s="3">
        <v>7</v>
      </c>
      <c r="L15" s="4">
        <f>K15*随机箱积分</f>
        <v>73.569999999999993</v>
      </c>
      <c r="M15" s="3">
        <v>7</v>
      </c>
      <c r="N15" s="4">
        <f>M15*随机箱积分</f>
        <v>73.569999999999993</v>
      </c>
      <c r="O15" s="3">
        <v>8</v>
      </c>
      <c r="P15" s="68">
        <f>O15*随机箱积分</f>
        <v>84.08</v>
      </c>
    </row>
    <row r="16" spans="2:16" ht="16.2" thickBot="1">
      <c r="B16" s="62" t="s">
        <v>34</v>
      </c>
      <c r="C16" s="3">
        <f>C24-SUM(C15)</f>
        <v>1</v>
      </c>
      <c r="D16" s="4"/>
      <c r="E16" s="3">
        <f>E24-SUM(C15,E15)</f>
        <v>2</v>
      </c>
      <c r="F16" s="4"/>
      <c r="G16" s="3">
        <f>G24-SUM(C15,E15,G15)</f>
        <v>3</v>
      </c>
      <c r="H16" s="4"/>
      <c r="I16" s="3">
        <f>I24-SUM(C15,E15,G15,I15)</f>
        <v>9</v>
      </c>
      <c r="J16" s="4"/>
      <c r="K16" s="3">
        <f>K24-SUM(C15,E15,G15,I15,K15)</f>
        <v>8</v>
      </c>
      <c r="L16" s="4"/>
      <c r="M16" s="3">
        <f>M24-SUM(C15,E15,G15,I15,K15,M15)</f>
        <v>7</v>
      </c>
      <c r="N16" s="4"/>
      <c r="O16" s="3">
        <f>O24-SUM(C15,E15,G15,I15,K15,M15,O15)</f>
        <v>0</v>
      </c>
      <c r="P16" s="4"/>
    </row>
    <row r="17" spans="2:16" ht="16.2" thickTop="1">
      <c r="B17" s="64" t="s">
        <v>192</v>
      </c>
      <c r="C17" s="3">
        <v>0</v>
      </c>
      <c r="D17" s="4">
        <f>C17*0</f>
        <v>0</v>
      </c>
      <c r="E17" s="3"/>
      <c r="F17" s="4">
        <f>E17*0</f>
        <v>0</v>
      </c>
      <c r="G17" s="3"/>
      <c r="H17" s="4">
        <f>G17*0</f>
        <v>0</v>
      </c>
      <c r="I17" s="3"/>
      <c r="J17" s="4">
        <f>I17*0</f>
        <v>0</v>
      </c>
      <c r="K17" s="3"/>
      <c r="L17" s="4">
        <f>K17*0</f>
        <v>0</v>
      </c>
      <c r="M17" s="3"/>
      <c r="N17" s="4">
        <f>M17*0</f>
        <v>0</v>
      </c>
      <c r="O17" s="3"/>
      <c r="P17" s="4">
        <f>O17*0</f>
        <v>0</v>
      </c>
    </row>
    <row r="18" spans="2:16">
      <c r="B18" s="15" t="s">
        <v>193</v>
      </c>
      <c r="C18" s="3"/>
      <c r="D18" s="4"/>
      <c r="E18" s="3"/>
      <c r="F18" s="4"/>
      <c r="G18" s="3"/>
      <c r="H18" s="4"/>
      <c r="I18" s="3"/>
      <c r="J18" s="4"/>
      <c r="K18" s="3"/>
      <c r="L18" s="4"/>
      <c r="M18" s="3"/>
      <c r="N18" s="4"/>
      <c r="O18" s="3"/>
      <c r="P18" s="4"/>
    </row>
    <row r="19" spans="2:16" ht="16.2" thickBot="1">
      <c r="B19" s="15" t="s">
        <v>54</v>
      </c>
      <c r="C19" s="3"/>
      <c r="D19" s="4"/>
      <c r="E19" s="3"/>
      <c r="F19" s="4"/>
      <c r="G19" s="3"/>
      <c r="H19" s="4"/>
      <c r="I19" s="3"/>
      <c r="J19" s="4"/>
      <c r="K19" s="3"/>
      <c r="L19" s="4"/>
      <c r="M19" s="3"/>
      <c r="N19" s="4"/>
      <c r="O19" s="3"/>
      <c r="P19" s="4"/>
    </row>
    <row r="20" spans="2:16" ht="16.8" thickTop="1" thickBot="1">
      <c r="B20" s="71" t="s">
        <v>56</v>
      </c>
      <c r="C20" s="72" t="str">
        <f>IFERROR(LOOKUP(D20,档位积分1:档位积分5,第1档:第5档),"无奖励")</f>
        <v>第2档</v>
      </c>
      <c r="D20" s="73">
        <f>SUM(D4:D13)+D15+SUM(D17:D19)</f>
        <v>635</v>
      </c>
      <c r="E20" s="74" t="str">
        <f>IFERROR(LOOKUP(F20,档位积分1:档位积分5,第1档:第5档),"无奖励")</f>
        <v>第2档</v>
      </c>
      <c r="F20" s="73">
        <f>SUM(F4:F13)+F15+SUM(F17:F19)</f>
        <v>630</v>
      </c>
      <c r="G20" s="74" t="str">
        <f>IFERROR(LOOKUP(H20,档位积分1:档位积分5,第1档:第5档),"无奖励")</f>
        <v>第2档</v>
      </c>
      <c r="H20" s="73">
        <f>SUM(H4:H13)+H15+SUM(H17:H19)</f>
        <v>630</v>
      </c>
      <c r="I20" s="74" t="str">
        <f>IFERROR(LOOKUP(J20,档位积分1:档位积分5,第1档:第5档),"无奖励")</f>
        <v>第3档</v>
      </c>
      <c r="J20" s="73">
        <f>SUM(J4:J13)+J15+SUM(J17:J19)</f>
        <v>1097.5</v>
      </c>
      <c r="K20" s="74" t="str">
        <f>IFERROR(LOOKUP(L20,档位积分1:档位积分5,第1档:第5档),"无奖励")</f>
        <v>第3档</v>
      </c>
      <c r="L20" s="73">
        <f>SUM(L4:L13)+L15+SUM(L17:L19)</f>
        <v>1071.07</v>
      </c>
      <c r="M20" s="74" t="str">
        <f>IFERROR(LOOKUP(N20,档位积分1:档位积分5,第1档:第5档),"无奖励")</f>
        <v>第3档</v>
      </c>
      <c r="N20" s="73">
        <f>SUM(N4:N13)+N15+SUM(N17:N19)</f>
        <v>1071.07</v>
      </c>
      <c r="O20" s="74" t="str">
        <f>IFERROR(LOOKUP(P20,档位积分1:档位积分5,第1档:第5档),"无奖励")</f>
        <v>第2档</v>
      </c>
      <c r="P20" s="73">
        <f>SUM(P4:P13)+P15+SUM(P17:P19)</f>
        <v>714.08</v>
      </c>
    </row>
    <row r="21" spans="2:16" ht="16.8" thickTop="1" thickBot="1">
      <c r="B21" s="58" t="s">
        <v>57</v>
      </c>
      <c r="C21" s="56" t="str">
        <f>IF(D20&gt;=MAX(档位积分1:档位积分5), "已是最高档",
   IF(D20&lt;MIN(档位积分1:档位积分5), INDEX(第1档:第5档, 1),
      INDEX(第1档:第5档, MATCH(D20, 档位积分1:档位积分5, 1)+1)))</f>
        <v>第3档</v>
      </c>
      <c r="D21" s="79">
        <f>IF(D20&gt;=MAX(档位积分1:档位积分5), "",
   IF(D20&lt;MIN(档位积分1:档位积分5), MIN(档位积分1:档位积分5),
      INDEX(档位积分1:档位积分5, MATCH(D20, 档位积分1:档位积分5, 1)+1)))</f>
        <v>1060</v>
      </c>
      <c r="E21" s="56" t="str">
        <f>IF(F20&gt;=MAX(档位积分1:档位积分5), "已是最高档",
   IF(F20&lt;MIN(档位积分1:档位积分5), INDEX(第1档:第5档, 1),
      INDEX(第1档:第5档, MATCH(F20, 档位积分1:档位积分5, 1)+1)))</f>
        <v>第3档</v>
      </c>
      <c r="F21" s="79">
        <f>IF(F20&gt;=MAX(档位积分1:档位积分5), "",
   IF(F20&lt;MIN(档位积分1:档位积分5), MIN(档位积分1:档位积分5),
      INDEX(档位积分1:档位积分5, MATCH(F20, 档位积分1:档位积分5, 1)+1)))</f>
        <v>1060</v>
      </c>
      <c r="G21" s="56" t="str">
        <f>IF(H20&gt;=MAX(档位积分1:档位积分5), "已是最高档",
   IF(H20&lt;MIN(档位积分1:档位积分5), INDEX(第1档:第5档, 1),
      INDEX(第1档:第5档, MATCH(H20, 档位积分1:档位积分5, 1)+1)))</f>
        <v>第3档</v>
      </c>
      <c r="H21" s="79">
        <f>IF(H20&gt;=MAX(档位积分1:档位积分5), "",
   IF(H20&lt;MIN(档位积分1:档位积分5), MIN(档位积分1:档位积分5),
      INDEX(档位积分1:档位积分5, MATCH(H20, 档位积分1:档位积分5, 1)+1)))</f>
        <v>1060</v>
      </c>
      <c r="I21" s="56" t="str">
        <f>IF(J20&gt;=MAX(档位积分1:档位积分5), "已是最高档",
   IF(J20&lt;MIN(档位积分1:档位积分5), INDEX(第1档:第5档, 1),
      INDEX(第1档:第5档, MATCH(J20, 档位积分1:档位积分5, 1)+1)))</f>
        <v>第4档</v>
      </c>
      <c r="J21" s="79">
        <f>IF(J20&gt;=MAX(档位积分1:档位积分5), "",
   IF(J20&lt;MIN(档位积分1:档位积分5), MIN(档位积分1:档位积分5),
      INDEX(档位积分1:档位积分5, MATCH(J20, 档位积分1:档位积分5, 1)+1)))</f>
        <v>2520</v>
      </c>
      <c r="K21" s="56" t="str">
        <f>IF(L20&gt;=MAX(档位积分1:档位积分5), "已是最高档",
   IF(L20&lt;MIN(档位积分1:档位积分5), INDEX(第1档:第5档, 1),
      INDEX(第1档:第5档, MATCH(L20, 档位积分1:档位积分5, 1)+1)))</f>
        <v>第4档</v>
      </c>
      <c r="L21" s="79">
        <f>IF(L20&gt;=MAX(档位积分1:档位积分5), "",
   IF(L20&lt;MIN(档位积分1:档位积分5), MIN(档位积分1:档位积分5),
      INDEX(档位积分1:档位积分5, MATCH(L20, 档位积分1:档位积分5, 1)+1)))</f>
        <v>2520</v>
      </c>
      <c r="M21" s="56" t="str">
        <f>IF(N20&gt;=MAX(档位积分1:档位积分5), "已是最高档",
   IF(N20&lt;MIN(档位积分1:档位积分5), INDEX(第1档:第5档, 1),
      INDEX(第1档:第5档, MATCH(N20, 档位积分1:档位积分5, 1)+1)))</f>
        <v>第4档</v>
      </c>
      <c r="N21" s="79">
        <f>IF(N20&gt;=MAX(档位积分1:档位积分5), "",
   IF(N20&lt;MIN(档位积分1:档位积分5), MIN(档位积分1:档位积分5),
      INDEX(档位积分1:档位积分5, MATCH(N20, 档位积分1:档位积分5, 1)+1)))</f>
        <v>2520</v>
      </c>
      <c r="O21" s="56" t="str">
        <f>IF(P20&gt;=MAX(档位积分1:档位积分5), "已是最高档",
   IF(P20&lt;MIN(档位积分1:档位积分5), INDEX(第1档:第5档, 1),
      INDEX(第1档:第5档, MATCH(P20, 档位积分1:档位积分5, 1)+1)))</f>
        <v>第3档</v>
      </c>
      <c r="P21" s="79">
        <f>IF(P20&gt;=MAX(档位积分1:档位积分5), "",
   IF(P20&lt;MIN(档位积分1:档位积分5), MIN(档位积分1:档位积分5),
      INDEX(档位积分1:档位积分5, MATCH(P20, 档位积分1:档位积分5, 1)+1)))</f>
        <v>1060</v>
      </c>
    </row>
    <row r="22" spans="2:16" ht="16.2" thickTop="1">
      <c r="B22" s="70" t="str">
        <f>"总"&amp;抽奖道具</f>
        <v>总鱼饵</v>
      </c>
      <c r="C22" s="56">
        <f>SUM(C4:C12)</f>
        <v>125</v>
      </c>
      <c r="D22" s="57">
        <f>C22*积分规则3</f>
        <v>31.25</v>
      </c>
      <c r="E22" s="56">
        <f>C22+SUM(E4:E12)</f>
        <v>245</v>
      </c>
      <c r="F22" s="57">
        <v>0</v>
      </c>
      <c r="G22" s="56">
        <f>E22+SUM(G4:G12)</f>
        <v>365</v>
      </c>
      <c r="H22" s="57">
        <v>0</v>
      </c>
      <c r="I22" s="56">
        <f>G22+SUM(I4:I12)</f>
        <v>570</v>
      </c>
      <c r="J22" s="57">
        <v>0</v>
      </c>
      <c r="K22" s="56">
        <f>I22+SUM(K4:K12)</f>
        <v>760</v>
      </c>
      <c r="L22" s="57">
        <v>0</v>
      </c>
      <c r="M22" s="56">
        <f>K22+SUM(M4:M12)</f>
        <v>950</v>
      </c>
      <c r="N22" s="57">
        <v>0</v>
      </c>
      <c r="O22" s="56">
        <f>M22+SUM(O4:O12)</f>
        <v>1070</v>
      </c>
      <c r="P22" s="57">
        <v>0</v>
      </c>
    </row>
    <row r="23" spans="2:16">
      <c r="B23" s="92" t="s">
        <v>196</v>
      </c>
      <c r="C23" s="3">
        <f>C13</f>
        <v>40</v>
      </c>
      <c r="D23" s="4"/>
      <c r="E23" s="3">
        <f>C23+E13</f>
        <v>160</v>
      </c>
      <c r="F23" s="4"/>
      <c r="G23" s="3">
        <f>G13+E23</f>
        <v>280</v>
      </c>
      <c r="H23" s="4"/>
      <c r="I23" s="3">
        <f>I13+G23</f>
        <v>570</v>
      </c>
      <c r="J23" s="4"/>
      <c r="K23" s="3">
        <f>K13+I23</f>
        <v>760</v>
      </c>
      <c r="L23" s="4"/>
      <c r="M23" s="3">
        <f>M13+K23</f>
        <v>950</v>
      </c>
      <c r="N23" s="4"/>
      <c r="O23" s="3">
        <f>O13+M23</f>
        <v>1070</v>
      </c>
      <c r="P23" s="4"/>
    </row>
    <row r="24" spans="2:16" ht="16.2" thickBot="1">
      <c r="B24" s="55" t="s">
        <v>55</v>
      </c>
      <c r="C24" s="5">
        <f>IFERROR(LOOKUP(D20,档位积分1:档位积分5,档位奖励1:档位奖励5),0)</f>
        <v>1</v>
      </c>
      <c r="D24" s="13">
        <f>C24*随机箱积分</f>
        <v>10.51</v>
      </c>
      <c r="E24" s="5">
        <f>IFERROR(LOOKUP(F20,档位积分1:档位积分5,档位奖励1:档位奖励5),0)+C24</f>
        <v>2</v>
      </c>
      <c r="F24" s="13">
        <f>E24*随机箱积分</f>
        <v>21.02</v>
      </c>
      <c r="G24" s="5">
        <f>IFERROR(LOOKUP(H20,档位积分1:档位积分5,档位奖励1:档位奖励5),0)+E24</f>
        <v>3</v>
      </c>
      <c r="H24" s="13">
        <f>G24*随机箱积分</f>
        <v>31.53</v>
      </c>
      <c r="I24" s="5">
        <f>IFERROR(LOOKUP(J20,档位积分1:档位积分5,档位奖励1:档位奖励5),0)+G24</f>
        <v>9</v>
      </c>
      <c r="J24" s="13">
        <f>I24*随机箱积分</f>
        <v>94.59</v>
      </c>
      <c r="K24" s="5">
        <f>IFERROR(LOOKUP(L20,档位积分1:档位积分5,档位奖励1:档位奖励5),0)+I24</f>
        <v>15</v>
      </c>
      <c r="L24" s="13">
        <f>K24*随机箱积分</f>
        <v>157.65</v>
      </c>
      <c r="M24" s="5">
        <f>IFERROR(LOOKUP(N20,档位积分1:档位积分5,档位奖励1:档位奖励5),0)+K24</f>
        <v>21</v>
      </c>
      <c r="N24" s="13">
        <f>M24*随机箱积分</f>
        <v>220.71</v>
      </c>
      <c r="O24" s="5">
        <f>IFERROR(LOOKUP(P20,档位积分1:档位积分5,档位奖励1:档位奖励5),0)+M24</f>
        <v>22</v>
      </c>
      <c r="P24" s="13">
        <f>O24*随机箱积分</f>
        <v>231.22</v>
      </c>
    </row>
    <row r="25" spans="2:16" ht="16.2" thickTop="1">
      <c r="B25" s="58" t="str">
        <f>普通兑换道具</f>
        <v>钓鱼积分</v>
      </c>
      <c r="C25" s="75">
        <f>IF(C23&lt;=77,C23*97.5,IF(C23&lt;=177,7507.5+(C23-77)*156,IF(C23&lt;=292,23107.5+(C23-177)*234,50017.5+(C23-292)*468)))</f>
        <v>3900</v>
      </c>
      <c r="D25" s="57"/>
      <c r="E25" s="75">
        <f>IF(E23&lt;=77,E23*97.5,IF(E23&lt;=177,7507.5+(E23-77)*156,IF(E23&lt;=292,23107.5+(E23-177)*234,50017.5+(E23-292)*468)))-200</f>
        <v>20255.5</v>
      </c>
      <c r="F25" s="76"/>
      <c r="G25" s="75">
        <f>IF(G23&lt;=77,G23*97.5,IF(G23&lt;=177,7507.5+(G23-77)*156,IF(G23&lt;=292,23107.5+(G23-177)*234,50017.5+(G23-292)*468)))</f>
        <v>47209.5</v>
      </c>
      <c r="H25" s="76"/>
      <c r="I25" s="75">
        <f>IF(I23&lt;=77,I23*97.5,IF(I23&lt;=177,7507.5+(I23-77)*156,IF(I23&lt;=292,23107.5+(I23-177)*234,50017.5+(I23-292)*468)))-4000</f>
        <v>176121.5</v>
      </c>
      <c r="J25" s="76"/>
      <c r="K25" s="75">
        <f>IF(K23&lt;=77,K23*97.5,IF(K23&lt;=177,7507.5+(K23-77)*156,IF(K23&lt;=292,23107.5+(K23-177)*234,50017.5+(K23-292)*468)))-4000-8700</f>
        <v>256341.5</v>
      </c>
      <c r="L25" s="76"/>
      <c r="M25" s="75">
        <f>IF(M23&lt;=77,M23*97.5,IF(M23&lt;=177,7507.5+(M23-77)*156,IF(M23&lt;=292,23107.5+(M23-177)*234,50017.5+(M23-292)*468)))-4000-8700-10500</f>
        <v>334761.5</v>
      </c>
      <c r="N25" s="76"/>
      <c r="O25" s="75">
        <f>IF(O23&lt;=77,O23*97.5,IF(O23&lt;=177,7507.5+(O23-77)*156,IF(O23&lt;=292,23107.5+(O23-177)*234,50017.5+(O23-292)*468)))-4000-8700-10500</f>
        <v>390921.5</v>
      </c>
      <c r="P25" s="57"/>
    </row>
    <row r="26" spans="2:16" ht="16.2" thickBot="1">
      <c r="B26" s="59" t="str">
        <f>高级兑换道具</f>
        <v>鱼王之证</v>
      </c>
      <c r="C26" s="77">
        <f>C13*高级兑换道具抽奖期望+C15*随机箱高级道具期望</f>
        <v>1</v>
      </c>
      <c r="D26" s="13"/>
      <c r="E26" s="77">
        <f>E13*高级兑换道具抽奖期望+E15*随机箱高级道具期望+C26</f>
        <v>4</v>
      </c>
      <c r="F26" s="78"/>
      <c r="G26" s="77">
        <f>G13*高级兑换道具抽奖期望+G15*随机箱高级道具期望+E26</f>
        <v>7</v>
      </c>
      <c r="H26" s="78"/>
      <c r="I26" s="77">
        <f>I13*高级兑换道具抽奖期望+I15*随机箱高级道具期望+G26</f>
        <v>14.25</v>
      </c>
      <c r="J26" s="78"/>
      <c r="K26" s="77">
        <f>K13*高级兑换道具抽奖期望+K15*随机箱高级道具期望+I26</f>
        <v>26.356999999999999</v>
      </c>
      <c r="L26" s="78"/>
      <c r="M26" s="77">
        <f>M13*高级兑换道具抽奖期望+M15*随机箱高级道具期望+K26</f>
        <v>38.463999999999999</v>
      </c>
      <c r="N26" s="78"/>
      <c r="O26" s="105">
        <f>O13*高级兑换道具抽奖期望+O15*随机箱高级道具期望+M26+O17</f>
        <v>49.872</v>
      </c>
      <c r="P26" s="13"/>
    </row>
    <row r="27" spans="2:16" ht="16.2" thickTop="1">
      <c r="B27" s="190" t="s">
        <v>47</v>
      </c>
      <c r="C27" s="20">
        <v>0</v>
      </c>
      <c r="D27" s="21">
        <v>0</v>
      </c>
      <c r="E27" s="20">
        <v>0</v>
      </c>
      <c r="F27" s="21">
        <v>0</v>
      </c>
      <c r="G27" s="20">
        <v>0</v>
      </c>
      <c r="H27" s="21">
        <v>0</v>
      </c>
      <c r="I27" s="20">
        <v>0</v>
      </c>
      <c r="J27" s="21">
        <v>0</v>
      </c>
      <c r="K27" s="20">
        <v>0</v>
      </c>
      <c r="L27" s="21">
        <v>0</v>
      </c>
      <c r="M27" s="20">
        <v>0</v>
      </c>
      <c r="N27" s="21">
        <v>0</v>
      </c>
      <c r="O27" s="20">
        <v>0</v>
      </c>
      <c r="P27" s="21">
        <v>0</v>
      </c>
    </row>
    <row r="28" spans="2:16">
      <c r="B28" s="191"/>
      <c r="C28" s="65">
        <v>0</v>
      </c>
      <c r="D28" s="26">
        <v>0</v>
      </c>
      <c r="E28" s="65">
        <v>0</v>
      </c>
      <c r="F28" s="26">
        <v>0</v>
      </c>
      <c r="G28" s="65">
        <v>0</v>
      </c>
      <c r="H28" s="26">
        <v>0</v>
      </c>
      <c r="I28" s="65">
        <v>0</v>
      </c>
      <c r="J28" s="26">
        <v>0</v>
      </c>
      <c r="K28" s="65">
        <v>0</v>
      </c>
      <c r="L28" s="26">
        <v>0</v>
      </c>
      <c r="M28" s="65">
        <v>0</v>
      </c>
      <c r="N28" s="26">
        <v>0</v>
      </c>
      <c r="O28" s="65">
        <v>0</v>
      </c>
      <c r="P28" s="26">
        <v>0</v>
      </c>
    </row>
    <row r="29" spans="2:16" ht="16.2" thickBot="1">
      <c r="B29" s="192"/>
      <c r="C29" s="66"/>
      <c r="D29" s="67"/>
      <c r="E29" s="66"/>
      <c r="F29" s="67"/>
      <c r="G29" s="66"/>
      <c r="H29" s="67"/>
      <c r="I29" s="66"/>
      <c r="J29" s="67"/>
      <c r="K29" s="66"/>
      <c r="L29" s="67"/>
      <c r="M29" s="66"/>
      <c r="N29" s="67"/>
      <c r="O29" s="66"/>
      <c r="P29" s="67"/>
    </row>
    <row r="30" spans="2:16" ht="16.2" thickTop="1">
      <c r="B30" s="191" t="s">
        <v>48</v>
      </c>
      <c r="C30" s="20">
        <f>IFERROR(LOOKUP(C27,价格6:价格648,翡翠100:翡翠10000),0)</f>
        <v>0</v>
      </c>
      <c r="D30" s="21">
        <f>IFERROR(LOOKUP(D27,价格6:价格648,翡翠100:翡翠10000),0)</f>
        <v>0</v>
      </c>
      <c r="E30" s="20">
        <f>IFERROR(LOOKUP(E27,价格6:价格648,翡翠100:翡翠10000),0)</f>
        <v>0</v>
      </c>
      <c r="F30" s="21">
        <f>IFERROR(LOOKUP(F27,价格6:价格648,翡翠100:翡翠10000),0)</f>
        <v>0</v>
      </c>
      <c r="G30" s="20">
        <f>IFERROR(LOOKUP(G27,价格6:价格648,翡翠100:翡翠10000),0)</f>
        <v>0</v>
      </c>
      <c r="H30" s="21">
        <f>IFERROR(LOOKUP(H27,价格6:价格648,翡翠100:翡翠10000),0)</f>
        <v>0</v>
      </c>
      <c r="I30" s="20">
        <f>IFERROR(LOOKUP(I27,价格6:价格648,翡翠100:翡翠10000),0)</f>
        <v>0</v>
      </c>
      <c r="J30" s="21">
        <f>IFERROR(LOOKUP(J27,价格6:价格648,翡翠100:翡翠10000),0)</f>
        <v>0</v>
      </c>
      <c r="K30" s="20">
        <f>IFERROR(LOOKUP(K27,价格6:价格648,翡翠100:翡翠10000),0)</f>
        <v>0</v>
      </c>
      <c r="L30" s="21">
        <f>IFERROR(LOOKUP(L27,价格6:价格648,翡翠100:翡翠10000),0)</f>
        <v>0</v>
      </c>
      <c r="M30" s="20">
        <f>IFERROR(LOOKUP(M27,价格6:价格648,翡翠100:翡翠10000),0)</f>
        <v>0</v>
      </c>
      <c r="N30" s="21">
        <f>IFERROR(LOOKUP(N27,价格6:价格648,翡翠100:翡翠10000),0)</f>
        <v>0</v>
      </c>
      <c r="O30" s="20">
        <f>IFERROR(LOOKUP(O27,价格6:价格648,翡翠100:翡翠10000),0)</f>
        <v>0</v>
      </c>
      <c r="P30" s="21">
        <f>IFERROR(LOOKUP(P27,价格6:价格648,翡翠100:翡翠10000),0)</f>
        <v>0</v>
      </c>
    </row>
    <row r="31" spans="2:16">
      <c r="B31" s="191"/>
      <c r="C31" s="65">
        <f>IFERROR(LOOKUP(C28,价格6:价格648,翡翠100:翡翠10000),0)</f>
        <v>0</v>
      </c>
      <c r="D31" s="26">
        <f>IFERROR(LOOKUP(D28,价格6:价格648,翡翠100:翡翠10000),0)</f>
        <v>0</v>
      </c>
      <c r="E31" s="65">
        <f>IFERROR(LOOKUP(E28,价格6:价格648,翡翠100:翡翠10000),0)</f>
        <v>0</v>
      </c>
      <c r="F31" s="26">
        <f>IFERROR(LOOKUP(F28,价格6:价格648,翡翠100:翡翠10000),0)</f>
        <v>0</v>
      </c>
      <c r="G31" s="65">
        <f>IFERROR(LOOKUP(G28,价格6:价格648,翡翠100:翡翠10000),0)</f>
        <v>0</v>
      </c>
      <c r="H31" s="26">
        <f>IFERROR(LOOKUP(H28,价格6:价格648,翡翠100:翡翠10000),0)</f>
        <v>0</v>
      </c>
      <c r="I31" s="65">
        <f>IFERROR(LOOKUP(I28,价格6:价格648,翡翠100:翡翠10000),0)</f>
        <v>0</v>
      </c>
      <c r="J31" s="26">
        <f>IFERROR(LOOKUP(J28,价格6:价格648,翡翠100:翡翠10000),0)</f>
        <v>0</v>
      </c>
      <c r="K31" s="65">
        <f>IFERROR(LOOKUP(K28,价格6:价格648,翡翠100:翡翠10000),0)</f>
        <v>0</v>
      </c>
      <c r="L31" s="26">
        <f>IFERROR(LOOKUP(L28,价格6:价格648,翡翠100:翡翠10000),0)</f>
        <v>0</v>
      </c>
      <c r="M31" s="65">
        <f>IFERROR(LOOKUP(M28,价格6:价格648,翡翠100:翡翠10000),0)</f>
        <v>0</v>
      </c>
      <c r="N31" s="26">
        <f>IFERROR(LOOKUP(N28,价格6:价格648,翡翠100:翡翠10000),0)</f>
        <v>0</v>
      </c>
      <c r="O31" s="65">
        <f>IFERROR(LOOKUP(O28,价格6:价格648,翡翠100:翡翠10000),0)</f>
        <v>0</v>
      </c>
      <c r="P31" s="26">
        <v>0</v>
      </c>
    </row>
    <row r="32" spans="2:16" ht="16.2" thickBot="1">
      <c r="B32" s="192"/>
      <c r="C32" s="66"/>
      <c r="D32" s="67"/>
      <c r="E32" s="66"/>
      <c r="F32" s="67"/>
      <c r="G32" s="66"/>
      <c r="H32" s="67"/>
      <c r="I32" s="66"/>
      <c r="J32" s="67"/>
      <c r="K32" s="66"/>
      <c r="L32" s="67"/>
      <c r="M32" s="66"/>
      <c r="N32" s="67"/>
      <c r="O32" s="66"/>
      <c r="P32" s="67"/>
    </row>
    <row r="33" spans="2:19" ht="24.6" customHeight="1" thickTop="1">
      <c r="B33" s="191" t="s">
        <v>46</v>
      </c>
      <c r="C33" s="193" t="str">
        <f>SUM(C6,E6,G6,I6,K6,M6,O6)*钻石购买 &amp;"钻石"</f>
        <v>56000钻石</v>
      </c>
      <c r="D33" s="194"/>
      <c r="E33" s="194"/>
      <c r="F33" s="194"/>
      <c r="G33" s="194"/>
      <c r="H33" s="194"/>
      <c r="I33" s="199" t="str">
        <f>SUM(C27:P29) &amp;"元"</f>
        <v>0元</v>
      </c>
      <c r="J33" s="199"/>
      <c r="K33" s="199"/>
      <c r="L33" s="199"/>
      <c r="M33" s="200" t="str">
        <f>SUM(C30:P32) &amp; "翡翠"</f>
        <v>0翡翠</v>
      </c>
      <c r="N33" s="200"/>
      <c r="O33" s="200"/>
      <c r="P33" s="201"/>
    </row>
    <row r="34" spans="2:19" ht="22.8" thickBot="1">
      <c r="B34" s="192"/>
      <c r="C34" s="196" t="str">
        <f>"最终收益："&amp;ROUNDDOWN(O26,0)&amp;B26&amp;"+"&amp;ROUNDDOWN(O25,0)&amp;B25</f>
        <v>最终收益：49鱼王之证+390921钓鱼积分</v>
      </c>
      <c r="D34" s="197"/>
      <c r="E34" s="197"/>
      <c r="F34" s="197"/>
      <c r="G34" s="197"/>
      <c r="H34" s="197"/>
      <c r="I34" s="197"/>
      <c r="J34" s="197"/>
      <c r="K34" s="197"/>
      <c r="L34" s="197"/>
      <c r="M34" s="197"/>
      <c r="N34" s="197"/>
      <c r="O34" s="197"/>
      <c r="P34" s="198"/>
    </row>
    <row r="35" spans="2:19" ht="16.2" thickTop="1"/>
    <row r="39" spans="2:19" ht="38.4" customHeight="1"/>
    <row r="40" spans="2:19" ht="17.7" customHeight="1">
      <c r="B40" s="27"/>
      <c r="C40" s="27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</row>
    <row r="41" spans="2:19" ht="17.7" customHeight="1">
      <c r="B41" s="27"/>
      <c r="C41" s="6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</row>
    <row r="42" spans="2:19" ht="17.7" customHeight="1">
      <c r="B42" s="27"/>
      <c r="C42" s="49"/>
      <c r="D42" s="50"/>
      <c r="E42" s="50"/>
      <c r="F42" s="50"/>
      <c r="G42" s="50"/>
      <c r="H42" s="50"/>
      <c r="I42" s="50"/>
      <c r="J42" s="50"/>
      <c r="K42" s="10"/>
      <c r="L42" s="10"/>
      <c r="M42" s="10"/>
      <c r="N42" s="10"/>
      <c r="O42" s="10"/>
      <c r="P42" s="10"/>
    </row>
    <row r="43" spans="2:19" ht="17.7" customHeight="1"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</row>
    <row r="44" spans="2:19">
      <c r="F44" s="195"/>
      <c r="G44" s="195"/>
      <c r="H44" s="195"/>
      <c r="I44" s="195"/>
      <c r="K44" s="188"/>
      <c r="L44" s="188"/>
      <c r="M44" s="188"/>
      <c r="N44" s="188"/>
      <c r="P44" s="188"/>
      <c r="Q44" s="188"/>
      <c r="R44" s="188"/>
      <c r="S44" s="188"/>
    </row>
    <row r="45" spans="2:19">
      <c r="K45" s="6"/>
      <c r="L45" s="6"/>
      <c r="M45" s="6"/>
      <c r="N45" s="6"/>
      <c r="P45" s="6"/>
      <c r="R45" s="6"/>
      <c r="S45" s="6"/>
    </row>
    <row r="46" spans="2:19">
      <c r="K46" s="6"/>
      <c r="L46" s="6"/>
      <c r="M46" s="6"/>
      <c r="N46" s="6"/>
      <c r="P46" s="6"/>
      <c r="R46" s="6"/>
      <c r="S46" s="6"/>
    </row>
    <row r="47" spans="2:19">
      <c r="K47" s="6"/>
      <c r="L47" s="6"/>
      <c r="M47" s="6"/>
      <c r="N47" s="6"/>
      <c r="P47" s="6"/>
      <c r="R47" s="6"/>
      <c r="S47" s="6"/>
    </row>
    <row r="48" spans="2:19">
      <c r="K48" s="6"/>
      <c r="L48" s="6"/>
      <c r="M48" s="6"/>
      <c r="N48" s="6"/>
      <c r="P48" s="25"/>
      <c r="R48" s="25"/>
      <c r="S48" s="6"/>
    </row>
    <row r="49" spans="2:16">
      <c r="G49" s="28"/>
      <c r="H49" s="28"/>
      <c r="I49" s="28"/>
      <c r="K49" s="6"/>
      <c r="M49" s="6"/>
      <c r="N49" s="6"/>
      <c r="O49" s="6"/>
      <c r="P49" s="6"/>
    </row>
    <row r="50" spans="2:16">
      <c r="F50" s="6"/>
      <c r="G50" s="6"/>
      <c r="H50" s="6"/>
      <c r="K50" s="6"/>
      <c r="M50" s="6"/>
      <c r="N50" s="6"/>
      <c r="O50" s="6"/>
      <c r="P50" s="6"/>
    </row>
    <row r="51" spans="2:16">
      <c r="B51" s="189"/>
      <c r="C51" s="189"/>
      <c r="D51" s="189"/>
      <c r="K51" s="188"/>
      <c r="L51" s="188"/>
      <c r="M51" s="188"/>
      <c r="N51" s="188"/>
    </row>
    <row r="52" spans="2:16">
      <c r="K52" s="6"/>
      <c r="M52" s="6"/>
      <c r="N52" s="6"/>
      <c r="P52" s="25"/>
    </row>
    <row r="53" spans="2:16">
      <c r="K53" s="6"/>
      <c r="M53" s="6"/>
      <c r="N53" s="6"/>
      <c r="P53" s="25"/>
    </row>
    <row r="54" spans="2:16">
      <c r="K54" s="6"/>
      <c r="M54" s="6"/>
      <c r="N54" s="6"/>
      <c r="P54" s="25"/>
    </row>
    <row r="55" spans="2:16">
      <c r="B55" s="189"/>
      <c r="C55" s="189"/>
      <c r="D55" s="189"/>
      <c r="K55" s="6"/>
      <c r="M55" s="6"/>
      <c r="N55" s="6"/>
      <c r="P55" s="25"/>
    </row>
    <row r="56" spans="2:16">
      <c r="K56" s="6"/>
      <c r="M56" s="6"/>
      <c r="N56" s="6"/>
      <c r="P56" s="25"/>
    </row>
    <row r="57" spans="2:16">
      <c r="K57" s="6"/>
      <c r="M57" s="6"/>
      <c r="N57" s="6"/>
      <c r="P57" s="25"/>
    </row>
    <row r="58" spans="2:16">
      <c r="K58" s="6"/>
      <c r="M58" s="6"/>
      <c r="N58" s="6"/>
      <c r="P58" s="25"/>
    </row>
    <row r="59" spans="2:16">
      <c r="K59" s="6"/>
      <c r="M59" s="6"/>
      <c r="N59" s="6"/>
      <c r="P59" s="25"/>
    </row>
    <row r="60" spans="2:16">
      <c r="P60" s="25"/>
    </row>
    <row r="61" spans="2:16">
      <c r="P61" s="25"/>
    </row>
    <row r="62" spans="2:16">
      <c r="P62" s="25"/>
    </row>
    <row r="63" spans="2:16">
      <c r="P63" s="25"/>
    </row>
    <row r="64" spans="2:16">
      <c r="P64" s="25"/>
    </row>
    <row r="65" spans="16:16">
      <c r="P65" s="25"/>
    </row>
    <row r="66" spans="16:16">
      <c r="P66" s="25"/>
    </row>
    <row r="67" spans="16:16">
      <c r="P67" s="25"/>
    </row>
    <row r="68" spans="16:16">
      <c r="P68" s="25"/>
    </row>
    <row r="69" spans="16:16">
      <c r="P69" s="25"/>
    </row>
    <row r="70" spans="16:16">
      <c r="P70" s="25"/>
    </row>
    <row r="71" spans="16:16">
      <c r="P71" s="25"/>
    </row>
    <row r="72" spans="16:16">
      <c r="P72" s="25"/>
    </row>
    <row r="73" spans="16:16">
      <c r="P73" s="25"/>
    </row>
    <row r="74" spans="16:16">
      <c r="P74" s="25"/>
    </row>
    <row r="75" spans="16:16">
      <c r="P75" s="25"/>
    </row>
  </sheetData>
  <mergeCells count="20">
    <mergeCell ref="B55:D55"/>
    <mergeCell ref="C2:D2"/>
    <mergeCell ref="E2:F2"/>
    <mergeCell ref="G2:H2"/>
    <mergeCell ref="B27:B29"/>
    <mergeCell ref="B30:B32"/>
    <mergeCell ref="C33:H33"/>
    <mergeCell ref="F44:I44"/>
    <mergeCell ref="B33:B34"/>
    <mergeCell ref="C34:P34"/>
    <mergeCell ref="B51:D51"/>
    <mergeCell ref="I33:L33"/>
    <mergeCell ref="M33:P33"/>
    <mergeCell ref="O2:P2"/>
    <mergeCell ref="I2:J2"/>
    <mergeCell ref="K2:L2"/>
    <mergeCell ref="M2:N2"/>
    <mergeCell ref="P44:S44"/>
    <mergeCell ref="K44:N44"/>
    <mergeCell ref="K51:N51"/>
  </mergeCells>
  <phoneticPr fontId="20" type="noConversion"/>
  <conditionalFormatting sqref="B6:P6">
    <cfRule type="cellIs" dxfId="27" priority="4" operator="greaterThan">
      <formula>0</formula>
    </cfRule>
  </conditionalFormatting>
  <conditionalFormatting sqref="B10:P10">
    <cfRule type="cellIs" dxfId="26" priority="1" operator="greaterThan">
      <formula>0</formula>
    </cfRule>
  </conditionalFormatting>
  <conditionalFormatting sqref="B11:P12">
    <cfRule type="cellIs" dxfId="25" priority="3" operator="greaterThan">
      <formula>0</formula>
    </cfRule>
  </conditionalFormatting>
  <conditionalFormatting sqref="C7:P7">
    <cfRule type="cellIs" dxfId="24" priority="2" operator="greaterThan">
      <formula>0</formula>
    </cfRule>
  </conditionalFormatting>
  <conditionalFormatting sqref="C13:P13">
    <cfRule type="cellIs" dxfId="23" priority="9" operator="greaterThan">
      <formula>0</formula>
    </cfRule>
  </conditionalFormatting>
  <conditionalFormatting sqref="C15:P15">
    <cfRule type="cellIs" dxfId="22" priority="6" operator="greaterThan">
      <formula>0</formula>
    </cfRule>
  </conditionalFormatting>
  <conditionalFormatting sqref="C17:P17">
    <cfRule type="cellIs" dxfId="21" priority="8" operator="greaterThan">
      <formula>0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U30"/>
  <sheetViews>
    <sheetView topLeftCell="A7" workbookViewId="0">
      <selection activeCell="J9" sqref="J9"/>
    </sheetView>
  </sheetViews>
  <sheetFormatPr defaultRowHeight="15.6"/>
  <cols>
    <col min="1" max="1" width="9.33203125" style="33" customWidth="1"/>
    <col min="2" max="2" width="8.88671875" style="33" customWidth="1"/>
    <col min="3" max="3" width="53.109375" style="33" customWidth="1"/>
    <col min="4" max="4" width="9.109375" style="33" bestFit="1" customWidth="1"/>
    <col min="5" max="7" width="11.109375" style="33" bestFit="1" customWidth="1"/>
    <col min="8" max="9" width="15.77734375" style="33" customWidth="1"/>
    <col min="10" max="10" width="13.6640625" style="33" customWidth="1"/>
    <col min="11" max="11" width="17.44140625" style="33" customWidth="1"/>
    <col min="12" max="12" width="16.77734375" style="33" customWidth="1"/>
    <col min="13" max="13" width="14.109375" style="33" customWidth="1"/>
    <col min="14" max="14" width="8.88671875" style="33"/>
    <col min="15" max="15" width="17.44140625" style="33" customWidth="1"/>
    <col min="16" max="16384" width="8.88671875" style="33"/>
  </cols>
  <sheetData>
    <row r="1" spans="1:21" ht="16.2" thickBot="1"/>
    <row r="2" spans="1:21" ht="24" customHeight="1" thickTop="1" thickBot="1">
      <c r="B2" s="122" t="s">
        <v>151</v>
      </c>
      <c r="C2" s="123"/>
      <c r="D2" s="123"/>
      <c r="E2" s="123"/>
      <c r="F2" s="123"/>
      <c r="G2" s="123"/>
      <c r="H2" s="123"/>
      <c r="I2" s="124"/>
      <c r="R2" s="51"/>
    </row>
    <row r="3" spans="1:21" ht="17.55" customHeight="1" thickTop="1">
      <c r="B3" s="127" t="s">
        <v>45</v>
      </c>
      <c r="C3" s="128"/>
      <c r="D3" s="127" t="str">
        <f>"期望"&amp;普通兑换道具</f>
        <v>期望钓鱼积分</v>
      </c>
      <c r="E3" s="131"/>
      <c r="F3" s="128"/>
      <c r="G3" s="131" t="str">
        <f>"期望"&amp;高级兑换道具</f>
        <v>期望鱼王之证</v>
      </c>
      <c r="H3" s="131"/>
      <c r="I3" s="128"/>
      <c r="R3" s="51"/>
    </row>
    <row r="4" spans="1:21" ht="12.6" customHeight="1">
      <c r="B4" s="129"/>
      <c r="C4" s="130"/>
      <c r="D4" s="129"/>
      <c r="E4" s="132"/>
      <c r="F4" s="130"/>
      <c r="G4" s="132"/>
      <c r="H4" s="132"/>
      <c r="I4" s="130"/>
      <c r="R4" s="51"/>
      <c r="T4" s="52"/>
      <c r="U4" s="52"/>
    </row>
    <row r="5" spans="1:21" ht="20.85" customHeight="1" thickBot="1">
      <c r="B5" s="125">
        <v>56000</v>
      </c>
      <c r="C5" s="126"/>
      <c r="D5" s="135">
        <f>垂钓盛典5.6w!O25</f>
        <v>390921.5</v>
      </c>
      <c r="E5" s="136"/>
      <c r="F5" s="137"/>
      <c r="G5" s="133">
        <f>垂钓盛典5.6w!O26</f>
        <v>49.872</v>
      </c>
      <c r="H5" s="133"/>
      <c r="I5" s="134"/>
      <c r="R5" s="51"/>
      <c r="T5" s="52"/>
      <c r="U5" s="52"/>
    </row>
    <row r="6" spans="1:21" ht="17.55" customHeight="1" thickTop="1">
      <c r="B6" s="116" t="s">
        <v>204</v>
      </c>
      <c r="C6" s="117"/>
      <c r="D6" s="117"/>
      <c r="E6" s="117"/>
      <c r="F6" s="117"/>
      <c r="G6" s="117"/>
      <c r="H6" s="117"/>
      <c r="I6" s="118"/>
      <c r="R6" s="51"/>
    </row>
    <row r="7" spans="1:21" ht="17.55" customHeight="1" thickBot="1">
      <c r="B7" s="119"/>
      <c r="C7" s="120"/>
      <c r="D7" s="120"/>
      <c r="E7" s="120"/>
      <c r="F7" s="120"/>
      <c r="G7" s="120"/>
      <c r="H7" s="120"/>
      <c r="I7" s="121"/>
      <c r="R7" s="51"/>
    </row>
    <row r="8" spans="1:21" ht="32.4" customHeight="1" thickTop="1">
      <c r="A8" s="43" t="s">
        <v>239</v>
      </c>
      <c r="B8" s="42" t="s">
        <v>35</v>
      </c>
      <c r="C8" s="43" t="s">
        <v>44</v>
      </c>
      <c r="D8" s="43" t="str">
        <f>垂钓盛典5.6w!B20</f>
        <v>目标档位</v>
      </c>
      <c r="E8" s="43" t="str">
        <f>垂钓盛典5.6w!B13</f>
        <v>使用鱼饵</v>
      </c>
      <c r="F8" s="43" t="str">
        <f>垂钓盛典5.6w!B14</f>
        <v>剩余鱼饵</v>
      </c>
      <c r="G8" s="43" t="str">
        <f>垂钓盛典5.6w!B16</f>
        <v>剩余随机箱</v>
      </c>
      <c r="H8" s="43" t="str">
        <f>"期望"&amp;普通兑换道具</f>
        <v>期望钓鱼积分</v>
      </c>
      <c r="I8" s="44" t="str">
        <f>"期望"&amp;高级兑换道具</f>
        <v>期望鱼王之证</v>
      </c>
      <c r="J8" s="44" t="s">
        <v>238</v>
      </c>
      <c r="R8" s="51"/>
    </row>
    <row r="9" spans="1:21" ht="36">
      <c r="B9" s="40" t="s">
        <v>36</v>
      </c>
      <c r="C9" s="36" t="s">
        <v>206</v>
      </c>
      <c r="D9" s="36" t="str">
        <f>垂钓盛典5.6w!C20</f>
        <v>第2档</v>
      </c>
      <c r="E9" s="36">
        <f>垂钓盛典5.6w!C13</f>
        <v>40</v>
      </c>
      <c r="F9" s="36">
        <f>垂钓盛典5.6w!C14</f>
        <v>85</v>
      </c>
      <c r="G9" s="36">
        <f>垂钓盛典5.6w!C16</f>
        <v>1</v>
      </c>
      <c r="H9" s="37">
        <f>垂钓盛典5.6w!C25</f>
        <v>3900</v>
      </c>
      <c r="I9" s="41">
        <f>垂钓盛典5.6w!C26</f>
        <v>1</v>
      </c>
      <c r="J9" s="83">
        <f>垂钓盛典5.6w!D20</f>
        <v>635</v>
      </c>
      <c r="R9" s="51"/>
    </row>
    <row r="10" spans="1:21" ht="28.2">
      <c r="B10" s="38" t="s">
        <v>37</v>
      </c>
      <c r="C10" s="34" t="s">
        <v>207</v>
      </c>
      <c r="D10" s="34" t="str">
        <f>垂钓盛典5.6w!E20</f>
        <v>第2档</v>
      </c>
      <c r="E10" s="34">
        <f>垂钓盛典5.6w!E13</f>
        <v>120</v>
      </c>
      <c r="F10" s="34">
        <f>垂钓盛典5.6w!E14</f>
        <v>85</v>
      </c>
      <c r="G10" s="34">
        <f>垂钓盛典5.6w!E16</f>
        <v>2</v>
      </c>
      <c r="H10" s="35">
        <f>垂钓盛典5.6w!E25</f>
        <v>20255.5</v>
      </c>
      <c r="I10" s="39">
        <f>垂钓盛典5.6w!E26</f>
        <v>4</v>
      </c>
      <c r="J10" s="83">
        <f>垂钓盛典5.6w!F20</f>
        <v>630</v>
      </c>
      <c r="R10" s="51"/>
    </row>
    <row r="11" spans="1:21" ht="28.2">
      <c r="B11" s="38" t="s">
        <v>38</v>
      </c>
      <c r="C11" s="34" t="s">
        <v>207</v>
      </c>
      <c r="D11" s="34" t="str">
        <f>垂钓盛典5.6w!G20</f>
        <v>第2档</v>
      </c>
      <c r="E11" s="35">
        <f>垂钓盛典5.6w!G13</f>
        <v>120</v>
      </c>
      <c r="F11" s="35">
        <f>垂钓盛典5.6w!G14</f>
        <v>85</v>
      </c>
      <c r="G11" s="35">
        <f>垂钓盛典5.6w!G16</f>
        <v>3</v>
      </c>
      <c r="H11" s="35">
        <f>垂钓盛典5.6w!G25</f>
        <v>47209.5</v>
      </c>
      <c r="I11" s="39">
        <f>垂钓盛典5.6w!G26</f>
        <v>7</v>
      </c>
      <c r="J11" s="83">
        <f>垂钓盛典5.6w!H20</f>
        <v>630</v>
      </c>
      <c r="R11" s="51"/>
    </row>
    <row r="12" spans="1:21" ht="39.6">
      <c r="A12" s="33" t="s">
        <v>208</v>
      </c>
      <c r="B12" s="38" t="s">
        <v>39</v>
      </c>
      <c r="C12" s="34" t="s">
        <v>209</v>
      </c>
      <c r="D12" s="34" t="str">
        <f>垂钓盛典5.6w!I20</f>
        <v>第3档</v>
      </c>
      <c r="E12" s="35">
        <f>垂钓盛典5.6w!I13</f>
        <v>290</v>
      </c>
      <c r="F12" s="35">
        <f>垂钓盛典5.6w!I14</f>
        <v>0</v>
      </c>
      <c r="G12" s="35">
        <f>垂钓盛典5.6w!I16</f>
        <v>9</v>
      </c>
      <c r="H12" s="35">
        <f>垂钓盛典5.6w!I25</f>
        <v>176121.5</v>
      </c>
      <c r="I12" s="39">
        <f>垂钓盛典5.6w!I26</f>
        <v>14.25</v>
      </c>
      <c r="J12" s="83">
        <f>垂钓盛典5.6w!J20</f>
        <v>1097.5</v>
      </c>
      <c r="R12" s="51"/>
    </row>
    <row r="13" spans="1:21" ht="52.8">
      <c r="A13" s="33" t="s">
        <v>208</v>
      </c>
      <c r="B13" s="38" t="s">
        <v>40</v>
      </c>
      <c r="C13" s="34" t="s">
        <v>210</v>
      </c>
      <c r="D13" s="34" t="str">
        <f>垂钓盛典5.6w!K20</f>
        <v>第3档</v>
      </c>
      <c r="E13" s="34">
        <f>垂钓盛典5.6w!K13</f>
        <v>190</v>
      </c>
      <c r="F13" s="34">
        <f>垂钓盛典5.6w!K14</f>
        <v>0</v>
      </c>
      <c r="G13" s="34">
        <f>垂钓盛典5.6w!K16</f>
        <v>8</v>
      </c>
      <c r="H13" s="35">
        <f>垂钓盛典5.6w!K25</f>
        <v>256341.5</v>
      </c>
      <c r="I13" s="39">
        <f>垂钓盛典5.6w!K26</f>
        <v>26.356999999999999</v>
      </c>
      <c r="J13" s="83">
        <f>垂钓盛典5.6w!L20</f>
        <v>1071.07</v>
      </c>
      <c r="R13" s="51"/>
    </row>
    <row r="14" spans="1:21" ht="52.8">
      <c r="A14" s="33" t="s">
        <v>208</v>
      </c>
      <c r="B14" s="38" t="s">
        <v>41</v>
      </c>
      <c r="C14" s="34" t="s">
        <v>211</v>
      </c>
      <c r="D14" s="34" t="str">
        <f>垂钓盛典5.6w!M20</f>
        <v>第3档</v>
      </c>
      <c r="E14" s="34">
        <f>垂钓盛典5.6w!M13</f>
        <v>190</v>
      </c>
      <c r="F14" s="34">
        <f>垂钓盛典5.6w!M14</f>
        <v>0</v>
      </c>
      <c r="G14" s="34">
        <f>垂钓盛典5.6w!M16</f>
        <v>7</v>
      </c>
      <c r="H14" s="35">
        <f>垂钓盛典5.6w!M25</f>
        <v>334761.5</v>
      </c>
      <c r="I14" s="39">
        <f>垂钓盛典5.6w!M26</f>
        <v>38.463999999999999</v>
      </c>
      <c r="J14" s="83">
        <f>垂钓盛典5.6w!N20</f>
        <v>1071.07</v>
      </c>
      <c r="R14" s="51"/>
    </row>
    <row r="15" spans="1:21" ht="36.6" thickBot="1">
      <c r="B15" s="45" t="s">
        <v>42</v>
      </c>
      <c r="C15" s="47" t="s">
        <v>212</v>
      </c>
      <c r="D15" s="47" t="str">
        <f>垂钓盛典5.6w!O20</f>
        <v>第2档</v>
      </c>
      <c r="E15" s="46">
        <f>垂钓盛典5.6w!O13</f>
        <v>120</v>
      </c>
      <c r="F15" s="46">
        <f>垂钓盛典5.6w!O14</f>
        <v>0</v>
      </c>
      <c r="G15" s="46">
        <f>垂钓盛典5.6w!O16</f>
        <v>0</v>
      </c>
      <c r="H15" s="47">
        <f>垂钓盛典5.6w!O25</f>
        <v>390921.5</v>
      </c>
      <c r="I15" s="48">
        <f>垂钓盛典5.6w!O26</f>
        <v>49.872</v>
      </c>
      <c r="J15" s="83">
        <f>垂钓盛典5.6w!P20</f>
        <v>714.08</v>
      </c>
      <c r="R15" s="51"/>
    </row>
    <row r="16" spans="1:21" ht="21" customHeight="1" thickTop="1" thickBot="1">
      <c r="B16" s="88"/>
      <c r="C16" s="89"/>
      <c r="D16" s="90"/>
      <c r="E16" s="89"/>
      <c r="F16" s="89"/>
      <c r="G16" s="89"/>
      <c r="H16" s="90"/>
      <c r="I16" s="91"/>
      <c r="R16" s="51"/>
    </row>
    <row r="17" spans="2:18" ht="18.45" customHeight="1" thickTop="1">
      <c r="B17" s="110" t="s">
        <v>43</v>
      </c>
      <c r="C17" s="111"/>
      <c r="D17" s="111"/>
      <c r="E17" s="111"/>
      <c r="F17" s="111"/>
      <c r="G17" s="111"/>
      <c r="H17" s="111"/>
      <c r="I17" s="112"/>
      <c r="R17" s="51"/>
    </row>
    <row r="18" spans="2:18" ht="66" customHeight="1" thickBot="1">
      <c r="B18" s="113" t="s">
        <v>220</v>
      </c>
      <c r="C18" s="114"/>
      <c r="D18" s="114"/>
      <c r="E18" s="114"/>
      <c r="F18" s="114"/>
      <c r="G18" s="114"/>
      <c r="H18" s="114"/>
      <c r="I18" s="115"/>
      <c r="R18" s="51"/>
    </row>
    <row r="19" spans="2:18" ht="34.5" customHeight="1" thickTop="1">
      <c r="B19" s="53" t="s">
        <v>88</v>
      </c>
      <c r="C19" s="53"/>
      <c r="D19" s="53"/>
      <c r="E19" s="53"/>
      <c r="F19" s="53"/>
      <c r="G19" s="53"/>
      <c r="H19" s="53"/>
      <c r="I19" s="53"/>
      <c r="R19" s="51"/>
    </row>
    <row r="20" spans="2:18" ht="12.9" customHeight="1">
      <c r="B20" s="53"/>
      <c r="C20" s="53"/>
      <c r="D20" s="53"/>
      <c r="E20" s="53"/>
      <c r="F20" s="53"/>
      <c r="G20" s="53"/>
      <c r="H20" s="53"/>
      <c r="I20" s="53"/>
      <c r="R20" s="51"/>
    </row>
    <row r="21" spans="2:18" ht="15.6" customHeight="1">
      <c r="R21" s="51"/>
    </row>
    <row r="22" spans="2:18" ht="16.2" customHeight="1">
      <c r="B22" s="54"/>
      <c r="C22" s="54"/>
      <c r="D22" s="54"/>
      <c r="E22" s="54"/>
      <c r="F22" s="54"/>
      <c r="G22" s="54"/>
      <c r="H22" s="54"/>
      <c r="I22" s="54"/>
      <c r="R22" s="51"/>
    </row>
    <row r="23" spans="2:18" ht="15.3" customHeight="1">
      <c r="B23" s="54"/>
      <c r="C23" s="54"/>
      <c r="D23" s="54"/>
      <c r="E23" s="54"/>
      <c r="F23" s="54"/>
      <c r="G23" s="54"/>
      <c r="H23" s="54"/>
      <c r="I23" s="54"/>
      <c r="R23" s="51"/>
    </row>
    <row r="24" spans="2:18" ht="22.95" customHeight="1">
      <c r="B24" s="54"/>
      <c r="C24" s="54"/>
      <c r="D24" s="54"/>
      <c r="E24" s="54"/>
      <c r="F24" s="54"/>
      <c r="G24" s="54"/>
      <c r="H24" s="54"/>
      <c r="I24" s="54"/>
      <c r="R24" s="51"/>
    </row>
    <row r="25" spans="2:18" ht="22.95" customHeight="1">
      <c r="N25" s="51"/>
      <c r="O25" s="51"/>
      <c r="P25" s="51"/>
      <c r="Q25" s="51"/>
      <c r="R25" s="51"/>
    </row>
    <row r="26" spans="2:18" ht="22.95" customHeight="1">
      <c r="N26" s="51"/>
      <c r="O26" s="51"/>
      <c r="P26" s="51"/>
      <c r="Q26" s="51"/>
      <c r="R26" s="51"/>
    </row>
    <row r="27" spans="2:18" ht="15.6" customHeight="1">
      <c r="N27" s="51"/>
      <c r="O27" s="51"/>
      <c r="P27" s="51"/>
      <c r="Q27" s="51"/>
      <c r="R27" s="51"/>
    </row>
    <row r="28" spans="2:18" ht="20.55" customHeight="1">
      <c r="N28" s="51"/>
      <c r="O28" s="51"/>
      <c r="P28" s="51"/>
      <c r="Q28" s="51"/>
      <c r="R28" s="51"/>
    </row>
    <row r="29" spans="2:18" ht="15.6" customHeight="1">
      <c r="N29" s="51"/>
      <c r="O29" s="51"/>
      <c r="P29" s="51"/>
      <c r="Q29" s="51"/>
      <c r="R29" s="51"/>
    </row>
    <row r="30" spans="2:18" ht="17.850000000000001" customHeight="1"/>
  </sheetData>
  <mergeCells count="10">
    <mergeCell ref="B17:I17"/>
    <mergeCell ref="B18:I18"/>
    <mergeCell ref="B6:I7"/>
    <mergeCell ref="B2:I2"/>
    <mergeCell ref="B5:C5"/>
    <mergeCell ref="B3:C4"/>
    <mergeCell ref="G3:I4"/>
    <mergeCell ref="G5:I5"/>
    <mergeCell ref="D3:F4"/>
    <mergeCell ref="D5:F5"/>
  </mergeCells>
  <phoneticPr fontId="20" type="noConversion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2055C-F8BC-4505-AB44-9C6177EDE407}">
  <dimension ref="B1:S75"/>
  <sheetViews>
    <sheetView topLeftCell="A13" workbookViewId="0">
      <selection activeCell="J45" sqref="J45"/>
    </sheetView>
  </sheetViews>
  <sheetFormatPr defaultRowHeight="15.6"/>
  <cols>
    <col min="1" max="1" width="3.77734375" style="1" customWidth="1"/>
    <col min="2" max="2" width="16.109375" style="1" customWidth="1"/>
    <col min="3" max="16" width="10.77734375" style="1" customWidth="1"/>
    <col min="17" max="17" width="7.77734375" style="1" customWidth="1"/>
    <col min="18" max="18" width="13.5546875" style="1" customWidth="1"/>
    <col min="19" max="19" width="9.88671875" style="1" customWidth="1"/>
    <col min="20" max="20" width="13.6640625" style="1" customWidth="1"/>
    <col min="21" max="21" width="14.6640625" style="1" customWidth="1"/>
    <col min="22" max="16384" width="8.88671875" style="1"/>
  </cols>
  <sheetData>
    <row r="1" spans="2:16" ht="16.2" thickBot="1"/>
    <row r="2" spans="2:16" ht="16.2" thickTop="1">
      <c r="B2" s="14"/>
      <c r="C2" s="186" t="s">
        <v>25</v>
      </c>
      <c r="D2" s="187"/>
      <c r="E2" s="186" t="s">
        <v>26</v>
      </c>
      <c r="F2" s="187"/>
      <c r="G2" s="186" t="s">
        <v>27</v>
      </c>
      <c r="H2" s="187"/>
      <c r="I2" s="186" t="s">
        <v>28</v>
      </c>
      <c r="J2" s="187"/>
      <c r="K2" s="186" t="s">
        <v>29</v>
      </c>
      <c r="L2" s="187"/>
      <c r="M2" s="186" t="s">
        <v>30</v>
      </c>
      <c r="N2" s="187"/>
      <c r="O2" s="186" t="s">
        <v>31</v>
      </c>
      <c r="P2" s="187"/>
    </row>
    <row r="3" spans="2:16" ht="16.2" thickBot="1">
      <c r="B3" s="15"/>
      <c r="C3" s="3" t="str">
        <f>抽奖道具</f>
        <v>鱼饵</v>
      </c>
      <c r="D3" s="4" t="s">
        <v>6</v>
      </c>
      <c r="E3" s="3" t="str">
        <f>抽奖道具</f>
        <v>鱼饵</v>
      </c>
      <c r="F3" s="4" t="s">
        <v>6</v>
      </c>
      <c r="G3" s="3" t="str">
        <f>抽奖道具</f>
        <v>鱼饵</v>
      </c>
      <c r="H3" s="4" t="s">
        <v>6</v>
      </c>
      <c r="I3" s="3" t="str">
        <f>抽奖道具</f>
        <v>鱼饵</v>
      </c>
      <c r="J3" s="4" t="s">
        <v>6</v>
      </c>
      <c r="K3" s="3" t="str">
        <f>抽奖道具</f>
        <v>鱼饵</v>
      </c>
      <c r="L3" s="4" t="s">
        <v>6</v>
      </c>
      <c r="M3" s="3" t="str">
        <f>抽奖道具</f>
        <v>鱼饵</v>
      </c>
      <c r="N3" s="4" t="s">
        <v>6</v>
      </c>
      <c r="O3" s="3" t="str">
        <f>抽奖道具</f>
        <v>鱼饵</v>
      </c>
      <c r="P3" s="4" t="s">
        <v>6</v>
      </c>
    </row>
    <row r="4" spans="2:16" ht="16.2" thickTop="1">
      <c r="B4" s="58" t="s">
        <v>53</v>
      </c>
      <c r="C4" s="3">
        <v>5</v>
      </c>
      <c r="D4" s="4">
        <f t="shared" ref="D4:P12" si="0">C4*积分规则1</f>
        <v>25</v>
      </c>
      <c r="E4" s="3"/>
      <c r="F4" s="4">
        <f t="shared" ref="F4:F12" si="1">E4*积分规则1</f>
        <v>0</v>
      </c>
      <c r="G4" s="3"/>
      <c r="H4" s="4">
        <f t="shared" ref="H4:H12" si="2">G4*积分规则1</f>
        <v>0</v>
      </c>
      <c r="I4" s="3"/>
      <c r="J4" s="4">
        <f t="shared" ref="J4:J12" si="3">I4*积分规则1</f>
        <v>0</v>
      </c>
      <c r="K4" s="3"/>
      <c r="L4" s="4">
        <f t="shared" ref="L4:L12" si="4">K4*积分规则1</f>
        <v>0</v>
      </c>
      <c r="M4" s="3"/>
      <c r="N4" s="4">
        <f t="shared" ref="N4:N12" si="5">M4*积分规则1</f>
        <v>0</v>
      </c>
      <c r="O4" s="3"/>
      <c r="P4" s="4">
        <f t="shared" ref="P4:P12" si="6">O4*积分规则1</f>
        <v>0</v>
      </c>
    </row>
    <row r="5" spans="2:16">
      <c r="B5" s="15" t="s">
        <v>32</v>
      </c>
      <c r="C5" s="3">
        <v>40</v>
      </c>
      <c r="D5" s="4">
        <f t="shared" si="0"/>
        <v>200</v>
      </c>
      <c r="E5" s="3">
        <v>40</v>
      </c>
      <c r="F5" s="4">
        <f t="shared" si="1"/>
        <v>200</v>
      </c>
      <c r="G5" s="3">
        <v>40</v>
      </c>
      <c r="H5" s="4">
        <f t="shared" si="2"/>
        <v>200</v>
      </c>
      <c r="I5" s="3">
        <v>40</v>
      </c>
      <c r="J5" s="4">
        <f t="shared" si="3"/>
        <v>200</v>
      </c>
      <c r="K5" s="3">
        <v>40</v>
      </c>
      <c r="L5" s="4">
        <f t="shared" si="4"/>
        <v>200</v>
      </c>
      <c r="M5" s="3">
        <v>40</v>
      </c>
      <c r="N5" s="4">
        <f t="shared" si="5"/>
        <v>200</v>
      </c>
      <c r="O5" s="3">
        <v>40</v>
      </c>
      <c r="P5" s="4">
        <f t="shared" si="6"/>
        <v>200</v>
      </c>
    </row>
    <row r="6" spans="2:16">
      <c r="B6" s="16" t="s">
        <v>17</v>
      </c>
      <c r="C6" s="3">
        <v>80</v>
      </c>
      <c r="D6" s="4">
        <f t="shared" si="0"/>
        <v>400</v>
      </c>
      <c r="E6" s="3">
        <v>80</v>
      </c>
      <c r="F6" s="4">
        <f t="shared" si="1"/>
        <v>400</v>
      </c>
      <c r="G6" s="3">
        <v>80</v>
      </c>
      <c r="H6" s="4">
        <f t="shared" si="2"/>
        <v>400</v>
      </c>
      <c r="I6" s="3">
        <v>80</v>
      </c>
      <c r="J6" s="4">
        <f t="shared" si="3"/>
        <v>400</v>
      </c>
      <c r="K6" s="3">
        <v>80</v>
      </c>
      <c r="L6" s="4">
        <f t="shared" si="4"/>
        <v>400</v>
      </c>
      <c r="M6" s="3">
        <v>80</v>
      </c>
      <c r="N6" s="4">
        <f t="shared" si="5"/>
        <v>400</v>
      </c>
      <c r="O6" s="3">
        <v>80</v>
      </c>
      <c r="P6" s="4">
        <f t="shared" si="6"/>
        <v>400</v>
      </c>
    </row>
    <row r="7" spans="2:16">
      <c r="B7" s="80" t="s">
        <v>49</v>
      </c>
      <c r="C7" s="3"/>
      <c r="D7" s="4">
        <f t="shared" si="0"/>
        <v>0</v>
      </c>
      <c r="E7" s="3"/>
      <c r="F7" s="4">
        <f t="shared" si="1"/>
        <v>0</v>
      </c>
      <c r="G7" s="3"/>
      <c r="H7" s="4">
        <f t="shared" si="2"/>
        <v>0</v>
      </c>
      <c r="I7" s="3">
        <v>25</v>
      </c>
      <c r="J7" s="4">
        <f t="shared" si="3"/>
        <v>125</v>
      </c>
      <c r="K7" s="3">
        <v>0</v>
      </c>
      <c r="L7" s="4">
        <f t="shared" si="4"/>
        <v>0</v>
      </c>
      <c r="M7" s="3">
        <v>0</v>
      </c>
      <c r="N7" s="4">
        <f t="shared" si="5"/>
        <v>0</v>
      </c>
      <c r="O7" s="3">
        <v>0</v>
      </c>
      <c r="P7" s="4">
        <f t="shared" si="6"/>
        <v>0</v>
      </c>
    </row>
    <row r="8" spans="2:16">
      <c r="B8" s="15" t="s">
        <v>50</v>
      </c>
      <c r="C8" s="3"/>
      <c r="D8" s="4">
        <f t="shared" si="0"/>
        <v>0</v>
      </c>
      <c r="E8" s="3"/>
      <c r="F8" s="4">
        <f t="shared" si="1"/>
        <v>0</v>
      </c>
      <c r="G8" s="3"/>
      <c r="H8" s="4">
        <f t="shared" si="2"/>
        <v>0</v>
      </c>
      <c r="I8" s="3"/>
      <c r="J8" s="4">
        <f t="shared" si="3"/>
        <v>0</v>
      </c>
      <c r="K8" s="3"/>
      <c r="L8" s="4">
        <f t="shared" si="4"/>
        <v>0</v>
      </c>
      <c r="M8" s="3"/>
      <c r="N8" s="4">
        <f t="shared" si="5"/>
        <v>0</v>
      </c>
      <c r="O8" s="3"/>
      <c r="P8" s="4">
        <f t="shared" si="6"/>
        <v>0</v>
      </c>
    </row>
    <row r="9" spans="2:16">
      <c r="B9" s="15" t="s">
        <v>58</v>
      </c>
      <c r="C9" s="3">
        <v>0</v>
      </c>
      <c r="D9" s="4">
        <f t="shared" si="0"/>
        <v>0</v>
      </c>
      <c r="E9" s="3">
        <v>0</v>
      </c>
      <c r="F9" s="4">
        <f t="shared" si="0"/>
        <v>0</v>
      </c>
      <c r="G9" s="3">
        <v>0</v>
      </c>
      <c r="H9" s="4">
        <f t="shared" si="0"/>
        <v>0</v>
      </c>
      <c r="I9" s="3">
        <v>0</v>
      </c>
      <c r="J9" s="4">
        <f t="shared" si="0"/>
        <v>0</v>
      </c>
      <c r="K9" s="3">
        <v>0</v>
      </c>
      <c r="L9" s="4">
        <f t="shared" si="0"/>
        <v>0</v>
      </c>
      <c r="M9" s="3">
        <v>0</v>
      </c>
      <c r="N9" s="4">
        <f t="shared" si="0"/>
        <v>0</v>
      </c>
      <c r="O9" s="3">
        <v>0</v>
      </c>
      <c r="P9" s="4">
        <f t="shared" si="0"/>
        <v>0</v>
      </c>
    </row>
    <row r="10" spans="2:16" ht="16.2" thickBot="1">
      <c r="B10" s="59" t="s">
        <v>194</v>
      </c>
      <c r="C10" s="3">
        <v>0</v>
      </c>
      <c r="D10" s="4">
        <f>C10*积分规则1</f>
        <v>0</v>
      </c>
      <c r="E10" s="3">
        <v>0</v>
      </c>
      <c r="F10" s="4">
        <f>E10*积分规则1</f>
        <v>0</v>
      </c>
      <c r="G10" s="3">
        <v>0</v>
      </c>
      <c r="H10" s="4">
        <f>G10*积分规则1</f>
        <v>0</v>
      </c>
      <c r="I10" s="3">
        <v>60</v>
      </c>
      <c r="J10" s="4">
        <f>I10*积分规则1</f>
        <v>300</v>
      </c>
      <c r="K10" s="3">
        <v>70</v>
      </c>
      <c r="L10" s="4">
        <f>K10*积分规则1</f>
        <v>350</v>
      </c>
      <c r="M10" s="3">
        <v>70</v>
      </c>
      <c r="N10" s="4">
        <f>M10*积分规则1</f>
        <v>350</v>
      </c>
      <c r="O10" s="3">
        <v>0</v>
      </c>
      <c r="P10" s="4">
        <f>O10*积分规则1</f>
        <v>0</v>
      </c>
    </row>
    <row r="11" spans="2:16" ht="16.2" thickTop="1">
      <c r="B11" s="60" t="s">
        <v>51</v>
      </c>
      <c r="C11" s="3"/>
      <c r="D11" s="4">
        <f t="shared" si="0"/>
        <v>0</v>
      </c>
      <c r="E11" s="3"/>
      <c r="F11" s="4">
        <f t="shared" si="1"/>
        <v>0</v>
      </c>
      <c r="G11" s="3"/>
      <c r="H11" s="4">
        <f t="shared" si="2"/>
        <v>0</v>
      </c>
      <c r="I11" s="3"/>
      <c r="J11" s="4">
        <f t="shared" si="3"/>
        <v>0</v>
      </c>
      <c r="K11" s="3"/>
      <c r="L11" s="4">
        <f t="shared" si="4"/>
        <v>0</v>
      </c>
      <c r="M11" s="3"/>
      <c r="N11" s="4">
        <f t="shared" si="5"/>
        <v>0</v>
      </c>
      <c r="O11" s="3"/>
      <c r="P11" s="4">
        <f t="shared" si="6"/>
        <v>0</v>
      </c>
    </row>
    <row r="12" spans="2:16" ht="16.2" thickBot="1">
      <c r="B12" s="61" t="s">
        <v>52</v>
      </c>
      <c r="C12" s="3"/>
      <c r="D12" s="4">
        <f t="shared" si="0"/>
        <v>0</v>
      </c>
      <c r="E12" s="3"/>
      <c r="F12" s="4">
        <f t="shared" si="1"/>
        <v>0</v>
      </c>
      <c r="G12" s="3"/>
      <c r="H12" s="4">
        <f t="shared" si="2"/>
        <v>0</v>
      </c>
      <c r="I12" s="3"/>
      <c r="J12" s="4">
        <f t="shared" si="3"/>
        <v>0</v>
      </c>
      <c r="K12" s="3"/>
      <c r="L12" s="4">
        <f t="shared" si="4"/>
        <v>0</v>
      </c>
      <c r="M12" s="3"/>
      <c r="N12" s="4">
        <f t="shared" si="5"/>
        <v>0</v>
      </c>
      <c r="O12" s="3"/>
      <c r="P12" s="4">
        <f t="shared" si="6"/>
        <v>0</v>
      </c>
    </row>
    <row r="13" spans="2:16" ht="16.2" thickTop="1">
      <c r="B13" s="69" t="str">
        <f>"使用"&amp;抽奖道具</f>
        <v>使用鱼饵</v>
      </c>
      <c r="C13" s="3">
        <v>40</v>
      </c>
      <c r="D13" s="4">
        <f>C13*积分规则3</f>
        <v>10</v>
      </c>
      <c r="E13" s="3">
        <v>120</v>
      </c>
      <c r="F13" s="4">
        <f>E13*积分规则3</f>
        <v>30</v>
      </c>
      <c r="G13" s="3">
        <v>120</v>
      </c>
      <c r="H13" s="4">
        <f>G13*积分规则3</f>
        <v>30</v>
      </c>
      <c r="I13" s="3">
        <v>290</v>
      </c>
      <c r="J13" s="4">
        <f>I13*积分规则3</f>
        <v>72.5</v>
      </c>
      <c r="K13" s="3">
        <v>190</v>
      </c>
      <c r="L13" s="4">
        <f>K13*积分规则3</f>
        <v>47.5</v>
      </c>
      <c r="M13" s="3">
        <v>190</v>
      </c>
      <c r="N13" s="4">
        <f>M13*积分规则3</f>
        <v>47.5</v>
      </c>
      <c r="O13" s="3">
        <v>120</v>
      </c>
      <c r="P13" s="4">
        <f>O13*积分规则3</f>
        <v>30</v>
      </c>
    </row>
    <row r="14" spans="2:16" ht="16.2" thickBot="1">
      <c r="B14" s="62" t="str">
        <f>"剩余"&amp;抽奖道具</f>
        <v>剩余鱼饵</v>
      </c>
      <c r="C14" s="3">
        <f>C22-C13</f>
        <v>85</v>
      </c>
      <c r="D14" s="4"/>
      <c r="E14" s="3">
        <f>C14+SUM(E4:E12)-E13</f>
        <v>85</v>
      </c>
      <c r="F14" s="4"/>
      <c r="G14" s="3">
        <f>E14+SUM(G4:G12)-G13</f>
        <v>85</v>
      </c>
      <c r="H14" s="4"/>
      <c r="I14" s="3">
        <f>G14+SUM(I4:I12)-I13</f>
        <v>0</v>
      </c>
      <c r="J14" s="4"/>
      <c r="K14" s="3">
        <f>I14+SUM(K4:K12)-K13</f>
        <v>0</v>
      </c>
      <c r="L14" s="4"/>
      <c r="M14" s="3">
        <f>K14+SUM(M4:M12)-M13</f>
        <v>0</v>
      </c>
      <c r="N14" s="4"/>
      <c r="O14" s="3">
        <f>M14+SUM(O4:O12)-O13</f>
        <v>0</v>
      </c>
      <c r="P14" s="4"/>
    </row>
    <row r="15" spans="2:16" ht="16.2" thickTop="1">
      <c r="B15" s="63" t="s">
        <v>33</v>
      </c>
      <c r="C15" s="3">
        <v>0</v>
      </c>
      <c r="D15" s="4">
        <f>C15*随机箱积分</f>
        <v>0</v>
      </c>
      <c r="E15" s="3">
        <v>0</v>
      </c>
      <c r="F15" s="4">
        <f>E15*随机箱积分</f>
        <v>0</v>
      </c>
      <c r="G15" s="3">
        <v>0</v>
      </c>
      <c r="H15" s="4">
        <f>G15*随机箱积分</f>
        <v>0</v>
      </c>
      <c r="I15" s="3">
        <v>0</v>
      </c>
      <c r="J15" s="4">
        <f>I15*随机箱积分</f>
        <v>0</v>
      </c>
      <c r="K15" s="3">
        <v>7</v>
      </c>
      <c r="L15" s="4">
        <f>K15*随机箱积分</f>
        <v>73.569999999999993</v>
      </c>
      <c r="M15" s="3">
        <v>7</v>
      </c>
      <c r="N15" s="4">
        <f>M15*随机箱积分</f>
        <v>73.569999999999993</v>
      </c>
      <c r="O15" s="3">
        <v>23</v>
      </c>
      <c r="P15" s="68">
        <f>O15*随机箱积分</f>
        <v>241.73</v>
      </c>
    </row>
    <row r="16" spans="2:16" ht="16.2" thickBot="1">
      <c r="B16" s="62" t="s">
        <v>34</v>
      </c>
      <c r="C16" s="3">
        <f>C24-SUM(C15)</f>
        <v>1</v>
      </c>
      <c r="D16" s="4"/>
      <c r="E16" s="3">
        <f>E24-SUM(C15,E15)</f>
        <v>2</v>
      </c>
      <c r="F16" s="4"/>
      <c r="G16" s="3">
        <f>G24-SUM(C15,E15,G15)</f>
        <v>3</v>
      </c>
      <c r="H16" s="4"/>
      <c r="I16" s="3">
        <f>I24-SUM(C15,E15,G15,I15)</f>
        <v>9</v>
      </c>
      <c r="J16" s="4"/>
      <c r="K16" s="3">
        <f>K24-SUM(C15,E15,G15,I15,K15)</f>
        <v>8</v>
      </c>
      <c r="L16" s="4"/>
      <c r="M16" s="3">
        <f>M24-SUM(C15,E15,G15,I15,K15,M15)</f>
        <v>7</v>
      </c>
      <c r="N16" s="4"/>
      <c r="O16" s="3">
        <f>O24-SUM(C15,E15,G15,I15,K15,M15,O15)+15</f>
        <v>0</v>
      </c>
      <c r="P16" s="4"/>
    </row>
    <row r="17" spans="2:16" ht="16.2" thickTop="1">
      <c r="B17" s="64" t="s">
        <v>192</v>
      </c>
      <c r="C17" s="3">
        <v>0</v>
      </c>
      <c r="D17" s="4">
        <f>C17*0</f>
        <v>0</v>
      </c>
      <c r="E17" s="3"/>
      <c r="F17" s="4">
        <f>E17*0</f>
        <v>0</v>
      </c>
      <c r="G17" s="3"/>
      <c r="H17" s="4">
        <f>G17*0</f>
        <v>0</v>
      </c>
      <c r="I17" s="3"/>
      <c r="J17" s="4">
        <f>I17*0</f>
        <v>0</v>
      </c>
      <c r="K17" s="3"/>
      <c r="L17" s="4">
        <f>K17*0</f>
        <v>0</v>
      </c>
      <c r="M17" s="3"/>
      <c r="N17" s="4">
        <f>M17*0</f>
        <v>0</v>
      </c>
      <c r="O17" s="3"/>
      <c r="P17" s="4">
        <f>O17*0</f>
        <v>0</v>
      </c>
    </row>
    <row r="18" spans="2:16">
      <c r="B18" s="15" t="s">
        <v>54</v>
      </c>
      <c r="C18" s="3"/>
      <c r="D18" s="4"/>
      <c r="E18" s="3"/>
      <c r="F18" s="4"/>
      <c r="G18" s="3"/>
      <c r="H18" s="4"/>
      <c r="I18" s="3"/>
      <c r="J18" s="4"/>
      <c r="K18" s="3"/>
      <c r="L18" s="4"/>
      <c r="M18" s="3"/>
      <c r="N18" s="4"/>
      <c r="O18" s="3"/>
      <c r="P18" s="4"/>
    </row>
    <row r="19" spans="2:16" ht="16.2" thickBot="1">
      <c r="B19" s="15" t="s">
        <v>54</v>
      </c>
      <c r="C19" s="3"/>
      <c r="D19" s="4"/>
      <c r="E19" s="3"/>
      <c r="F19" s="4"/>
      <c r="G19" s="3"/>
      <c r="H19" s="4"/>
      <c r="I19" s="3"/>
      <c r="J19" s="4"/>
      <c r="K19" s="3"/>
      <c r="L19" s="4"/>
      <c r="M19" s="3"/>
      <c r="N19" s="4"/>
      <c r="O19" s="3"/>
      <c r="P19" s="4"/>
    </row>
    <row r="20" spans="2:16" ht="16.8" thickTop="1" thickBot="1">
      <c r="B20" s="71" t="s">
        <v>56</v>
      </c>
      <c r="C20" s="72" t="str">
        <f>IFERROR(LOOKUP(D20,档位积分1:档位积分5,第1档:第5档),"无奖励")</f>
        <v>第2档</v>
      </c>
      <c r="D20" s="73">
        <f>SUM(D4:D13)+D15+SUM(D17:D19)</f>
        <v>635</v>
      </c>
      <c r="E20" s="74" t="str">
        <f>IFERROR(LOOKUP(F20,档位积分1:档位积分5,第1档:第5档),"无奖励")</f>
        <v>第2档</v>
      </c>
      <c r="F20" s="73">
        <f>SUM(F4:F13)+F15+SUM(F17:F19)</f>
        <v>630</v>
      </c>
      <c r="G20" s="74" t="str">
        <f>IFERROR(LOOKUP(H20,档位积分1:档位积分5,第1档:第5档),"无奖励")</f>
        <v>第2档</v>
      </c>
      <c r="H20" s="73">
        <f>SUM(H4:H13)+H15+SUM(H17:H19)</f>
        <v>630</v>
      </c>
      <c r="I20" s="74" t="str">
        <f>IFERROR(LOOKUP(J20,档位积分1:档位积分5,第1档:第5档),"无奖励")</f>
        <v>第3档</v>
      </c>
      <c r="J20" s="73">
        <f>SUM(J4:J13)+J15+SUM(J17:J19)</f>
        <v>1097.5</v>
      </c>
      <c r="K20" s="74" t="str">
        <f>IFERROR(LOOKUP(L20,档位积分1:档位积分5,第1档:第5档),"无奖励")</f>
        <v>第3档</v>
      </c>
      <c r="L20" s="73">
        <f>SUM(L4:L13)+L15+SUM(L17:L19)</f>
        <v>1071.07</v>
      </c>
      <c r="M20" s="74" t="str">
        <f>IFERROR(LOOKUP(N20,档位积分1:档位积分5,第1档:第5档),"无奖励")</f>
        <v>第3档</v>
      </c>
      <c r="N20" s="73">
        <f>SUM(N4:N13)+N15+SUM(N17:N19)</f>
        <v>1071.07</v>
      </c>
      <c r="O20" s="74" t="str">
        <f>IFERROR(LOOKUP(P20,档位积分1:档位积分5,第1档:第5档),"无奖励")</f>
        <v>第2档</v>
      </c>
      <c r="P20" s="73">
        <f>SUM(P4:P13)+P15+SUM(P17:P19)</f>
        <v>871.73</v>
      </c>
    </row>
    <row r="21" spans="2:16" ht="16.8" thickTop="1" thickBot="1">
      <c r="B21" s="58" t="s">
        <v>57</v>
      </c>
      <c r="C21" s="56" t="str">
        <f>IF(D20&gt;=MAX(档位积分1:档位积分5), "已是最高档",
   IF(D20&lt;MIN(档位积分1:档位积分5), INDEX(第1档:第5档, 1),
      INDEX(第1档:第5档, MATCH(D20, 档位积分1:档位积分5, 1)+1)))</f>
        <v>第3档</v>
      </c>
      <c r="D21" s="79">
        <f>IF(D20&gt;=MAX(档位积分1:档位积分5), "",
   IF(D20&lt;MIN(档位积分1:档位积分5), MIN(档位积分1:档位积分5),
      INDEX(档位积分1:档位积分5, MATCH(D20, 档位积分1:档位积分5, 1)+1)))</f>
        <v>1060</v>
      </c>
      <c r="E21" s="56" t="str">
        <f>IF(F20&gt;=MAX(档位积分1:档位积分5), "已是最高档",
   IF(F20&lt;MIN(档位积分1:档位积分5), INDEX(第1档:第5档, 1),
      INDEX(第1档:第5档, MATCH(F20, 档位积分1:档位积分5, 1)+1)))</f>
        <v>第3档</v>
      </c>
      <c r="F21" s="79">
        <f>IF(F20&gt;=MAX(档位积分1:档位积分5), "",
   IF(F20&lt;MIN(档位积分1:档位积分5), MIN(档位积分1:档位积分5),
      INDEX(档位积分1:档位积分5, MATCH(F20, 档位积分1:档位积分5, 1)+1)))</f>
        <v>1060</v>
      </c>
      <c r="G21" s="56" t="str">
        <f>IF(H20&gt;=MAX(档位积分1:档位积分5), "已是最高档",
   IF(H20&lt;MIN(档位积分1:档位积分5), INDEX(第1档:第5档, 1),
      INDEX(第1档:第5档, MATCH(H20, 档位积分1:档位积分5, 1)+1)))</f>
        <v>第3档</v>
      </c>
      <c r="H21" s="79">
        <f>IF(H20&gt;=MAX(档位积分1:档位积分5), "",
   IF(H20&lt;MIN(档位积分1:档位积分5), MIN(档位积分1:档位积分5),
      INDEX(档位积分1:档位积分5, MATCH(H20, 档位积分1:档位积分5, 1)+1)))</f>
        <v>1060</v>
      </c>
      <c r="I21" s="56" t="str">
        <f>IF(J20&gt;=MAX(档位积分1:档位积分5), "已是最高档",
   IF(J20&lt;MIN(档位积分1:档位积分5), INDEX(第1档:第5档, 1),
      INDEX(第1档:第5档, MATCH(J20, 档位积分1:档位积分5, 1)+1)))</f>
        <v>第4档</v>
      </c>
      <c r="J21" s="79">
        <f>IF(J20&gt;=MAX(档位积分1:档位积分5), "",
   IF(J20&lt;MIN(档位积分1:档位积分5), MIN(档位积分1:档位积分5),
      INDEX(档位积分1:档位积分5, MATCH(J20, 档位积分1:档位积分5, 1)+1)))</f>
        <v>2520</v>
      </c>
      <c r="K21" s="56" t="str">
        <f>IF(L20&gt;=MAX(档位积分1:档位积分5), "已是最高档",
   IF(L20&lt;MIN(档位积分1:档位积分5), INDEX(第1档:第5档, 1),
      INDEX(第1档:第5档, MATCH(L20, 档位积分1:档位积分5, 1)+1)))</f>
        <v>第4档</v>
      </c>
      <c r="L21" s="79">
        <f>IF(L20&gt;=MAX(档位积分1:档位积分5), "",
   IF(L20&lt;MIN(档位积分1:档位积分5), MIN(档位积分1:档位积分5),
      INDEX(档位积分1:档位积分5, MATCH(L20, 档位积分1:档位积分5, 1)+1)))</f>
        <v>2520</v>
      </c>
      <c r="M21" s="56" t="str">
        <f>IF(N20&gt;=MAX(档位积分1:档位积分5), "已是最高档",
   IF(N20&lt;MIN(档位积分1:档位积分5), INDEX(第1档:第5档, 1),
      INDEX(第1档:第5档, MATCH(N20, 档位积分1:档位积分5, 1)+1)))</f>
        <v>第4档</v>
      </c>
      <c r="N21" s="79">
        <f>IF(N20&gt;=MAX(档位积分1:档位积分5), "",
   IF(N20&lt;MIN(档位积分1:档位积分5), MIN(档位积分1:档位积分5),
      INDEX(档位积分1:档位积分5, MATCH(N20, 档位积分1:档位积分5, 1)+1)))</f>
        <v>2520</v>
      </c>
      <c r="O21" s="56" t="str">
        <f>IF(P20&gt;=MAX(档位积分1:档位积分5), "已是最高档",
   IF(P20&lt;MIN(档位积分1:档位积分5), INDEX(第1档:第5档, 1),
      INDEX(第1档:第5档, MATCH(P20, 档位积分1:档位积分5, 1)+1)))</f>
        <v>第3档</v>
      </c>
      <c r="P21" s="79">
        <f>IF(P20&gt;=MAX(档位积分1:档位积分5), "",
   IF(P20&lt;MIN(档位积分1:档位积分5), MIN(档位积分1:档位积分5),
      INDEX(档位积分1:档位积分5, MATCH(P20, 档位积分1:档位积分5, 1)+1)))</f>
        <v>1060</v>
      </c>
    </row>
    <row r="22" spans="2:16" ht="16.2" thickTop="1">
      <c r="B22" s="70" t="str">
        <f>"总"&amp;抽奖道具</f>
        <v>总鱼饵</v>
      </c>
      <c r="C22" s="56">
        <f>SUM(C4:C12)</f>
        <v>125</v>
      </c>
      <c r="D22" s="57">
        <f>C22*积分规则3</f>
        <v>31.25</v>
      </c>
      <c r="E22" s="56">
        <f>C22+SUM(E4:E12)</f>
        <v>245</v>
      </c>
      <c r="F22" s="57">
        <v>0</v>
      </c>
      <c r="G22" s="56">
        <f>E22+SUM(G4:G12)</f>
        <v>365</v>
      </c>
      <c r="H22" s="57">
        <v>0</v>
      </c>
      <c r="I22" s="56">
        <f>G22+SUM(I4:I12)</f>
        <v>570</v>
      </c>
      <c r="J22" s="57">
        <v>0</v>
      </c>
      <c r="K22" s="56">
        <f>I22+SUM(K4:K12)</f>
        <v>760</v>
      </c>
      <c r="L22" s="57">
        <v>0</v>
      </c>
      <c r="M22" s="56">
        <f>K22+SUM(M4:M12)</f>
        <v>950</v>
      </c>
      <c r="N22" s="57">
        <v>0</v>
      </c>
      <c r="O22" s="56">
        <f>M22+SUM(O4:O12)</f>
        <v>1070</v>
      </c>
      <c r="P22" s="57">
        <v>0</v>
      </c>
    </row>
    <row r="23" spans="2:16">
      <c r="B23" s="92" t="s">
        <v>196</v>
      </c>
      <c r="C23" s="3">
        <f>C13</f>
        <v>40</v>
      </c>
      <c r="D23" s="4"/>
      <c r="E23" s="3">
        <f>C23+E13</f>
        <v>160</v>
      </c>
      <c r="F23" s="4"/>
      <c r="G23" s="3">
        <f>G13+E23</f>
        <v>280</v>
      </c>
      <c r="H23" s="4"/>
      <c r="I23" s="3">
        <f>I13+G23</f>
        <v>570</v>
      </c>
      <c r="J23" s="4"/>
      <c r="K23" s="3">
        <f>K13+I23</f>
        <v>760</v>
      </c>
      <c r="L23" s="4"/>
      <c r="M23" s="3">
        <f>M13+K23</f>
        <v>950</v>
      </c>
      <c r="N23" s="4"/>
      <c r="O23" s="3">
        <f>O13+M23</f>
        <v>1070</v>
      </c>
      <c r="P23" s="4"/>
    </row>
    <row r="24" spans="2:16" ht="16.2" thickBot="1">
      <c r="B24" s="55" t="s">
        <v>55</v>
      </c>
      <c r="C24" s="5">
        <f>IFERROR(LOOKUP(D20,档位积分1:档位积分5,档位奖励1:档位奖励5),0)</f>
        <v>1</v>
      </c>
      <c r="D24" s="13">
        <f>C24*随机箱积分</f>
        <v>10.51</v>
      </c>
      <c r="E24" s="5">
        <f>IFERROR(LOOKUP(F20,档位积分1:档位积分5,档位奖励1:档位奖励5),0)+C24</f>
        <v>2</v>
      </c>
      <c r="F24" s="13">
        <f>E24*随机箱积分</f>
        <v>21.02</v>
      </c>
      <c r="G24" s="5">
        <f>IFERROR(LOOKUP(H20,档位积分1:档位积分5,档位奖励1:档位奖励5),0)+E24</f>
        <v>3</v>
      </c>
      <c r="H24" s="13">
        <f>G24*随机箱积分</f>
        <v>31.53</v>
      </c>
      <c r="I24" s="5">
        <f>IFERROR(LOOKUP(J20,档位积分1:档位积分5,档位奖励1:档位奖励5),0)+G24</f>
        <v>9</v>
      </c>
      <c r="J24" s="13">
        <f>I24*随机箱积分</f>
        <v>94.59</v>
      </c>
      <c r="K24" s="5">
        <f>IFERROR(LOOKUP(L20,档位积分1:档位积分5,档位奖励1:档位奖励5),0)+I24</f>
        <v>15</v>
      </c>
      <c r="L24" s="13">
        <f>K24*随机箱积分</f>
        <v>157.65</v>
      </c>
      <c r="M24" s="5">
        <f>IFERROR(LOOKUP(N20,档位积分1:档位积分5,档位奖励1:档位奖励5),0)+K24</f>
        <v>21</v>
      </c>
      <c r="N24" s="13">
        <f>M24*随机箱积分</f>
        <v>220.71</v>
      </c>
      <c r="O24" s="5">
        <f>IFERROR(LOOKUP(P20,档位积分1:档位积分5,档位奖励1:档位奖励5),0)+M24</f>
        <v>22</v>
      </c>
      <c r="P24" s="13">
        <f>O24*随机箱积分</f>
        <v>231.22</v>
      </c>
    </row>
    <row r="25" spans="2:16" ht="16.2" thickTop="1">
      <c r="B25" s="58" t="str">
        <f>普通兑换道具</f>
        <v>钓鱼积分</v>
      </c>
      <c r="C25" s="75">
        <f>IF(C23&lt;=77,C23*97.5,IF(C23&lt;=177,7507.5+(C23-77)*156,IF(C23&lt;=292,23107.5+(C23-177)*234,50017.5+(C23-292)*468)))</f>
        <v>3900</v>
      </c>
      <c r="D25" s="57"/>
      <c r="E25" s="75">
        <f>IF(E23&lt;=77,E23*97.5,IF(E23&lt;=177,7507.5+(E23-77)*156,IF(E23&lt;=292,23107.5+(E23-177)*234,50017.5+(E23-292)*468)))-200</f>
        <v>20255.5</v>
      </c>
      <c r="F25" s="76"/>
      <c r="G25" s="75">
        <f>IF(G23&lt;=77,G23*97.5,IF(G23&lt;=177,7507.5+(G23-77)*156,IF(G23&lt;=292,23107.5+(G23-177)*234,50017.5+(G23-292)*468)))</f>
        <v>47209.5</v>
      </c>
      <c r="H25" s="76"/>
      <c r="I25" s="75">
        <f>IF(I23&lt;=77,I23*97.5,IF(I23&lt;=177,7507.5+(I23-77)*156,IF(I23&lt;=292,23107.5+(I23-177)*234,50017.5+(I23-292)*468)))-4000</f>
        <v>176121.5</v>
      </c>
      <c r="J25" s="76"/>
      <c r="K25" s="75">
        <f>IF(K23&lt;=77,K23*97.5,IF(K23&lt;=177,7507.5+(K23-77)*156,IF(K23&lt;=292,23107.5+(K23-177)*234,50017.5+(K23-292)*468)))-4000-8700</f>
        <v>256341.5</v>
      </c>
      <c r="L25" s="76"/>
      <c r="M25" s="75">
        <f>IF(M23&lt;=77,M23*97.5,IF(M23&lt;=177,7507.5+(M23-77)*156,IF(M23&lt;=292,23107.5+(M23-177)*234,50017.5+(M23-292)*468)))-4000-8700-10500</f>
        <v>334761.5</v>
      </c>
      <c r="N25" s="76"/>
      <c r="O25" s="75">
        <f>IF(O23&lt;=77,O23*97.5,IF(O23&lt;=177,7507.5+(O23-77)*156,IF(O23&lt;=292,23107.5+(O23-177)*234,50017.5+(O23-292)*468)))-4000-8700-10500</f>
        <v>390921.5</v>
      </c>
      <c r="P25" s="57"/>
    </row>
    <row r="26" spans="2:16" ht="16.2" thickBot="1">
      <c r="B26" s="59" t="str">
        <f>高级兑换道具</f>
        <v>鱼王之证</v>
      </c>
      <c r="C26" s="77">
        <f>C13*高级兑换道具抽奖期望+C15*随机箱高级道具期望</f>
        <v>1</v>
      </c>
      <c r="D26" s="13"/>
      <c r="E26" s="77">
        <f>E13*高级兑换道具抽奖期望+E15*随机箱高级道具期望+C26</f>
        <v>4</v>
      </c>
      <c r="F26" s="78"/>
      <c r="G26" s="77">
        <f>G13*高级兑换道具抽奖期望+G15*随机箱高级道具期望+E26</f>
        <v>7</v>
      </c>
      <c r="H26" s="78"/>
      <c r="I26" s="77">
        <f>I13*高级兑换道具抽奖期望+I15*随机箱高级道具期望+G26</f>
        <v>14.25</v>
      </c>
      <c r="J26" s="78"/>
      <c r="K26" s="77">
        <f>K13*高级兑换道具抽奖期望+K15*随机箱高级道具期望+I26</f>
        <v>26.356999999999999</v>
      </c>
      <c r="L26" s="78"/>
      <c r="M26" s="77">
        <f>M13*高级兑换道具抽奖期望+M15*随机箱高级道具期望+K26</f>
        <v>38.463999999999999</v>
      </c>
      <c r="N26" s="78"/>
      <c r="O26" s="105">
        <f>O13*高级兑换道具抽奖期望+O15*随机箱高级道具期望+M26+O17</f>
        <v>65.637</v>
      </c>
      <c r="P26" s="13"/>
    </row>
    <row r="27" spans="2:16" ht="16.2" thickTop="1">
      <c r="B27" s="190" t="s">
        <v>47</v>
      </c>
      <c r="C27" s="20">
        <v>0</v>
      </c>
      <c r="D27" s="21">
        <v>0</v>
      </c>
      <c r="E27" s="20">
        <v>0</v>
      </c>
      <c r="F27" s="21">
        <v>0</v>
      </c>
      <c r="G27" s="20">
        <v>0</v>
      </c>
      <c r="H27" s="21">
        <v>0</v>
      </c>
      <c r="I27" s="20">
        <v>0</v>
      </c>
      <c r="J27" s="21">
        <v>0</v>
      </c>
      <c r="K27" s="20">
        <v>0</v>
      </c>
      <c r="L27" s="21">
        <v>0</v>
      </c>
      <c r="M27" s="20">
        <v>0</v>
      </c>
      <c r="N27" s="21">
        <v>0</v>
      </c>
      <c r="O27" s="20">
        <v>68</v>
      </c>
      <c r="P27" s="21">
        <v>0</v>
      </c>
    </row>
    <row r="28" spans="2:16">
      <c r="B28" s="191"/>
      <c r="C28" s="65">
        <v>0</v>
      </c>
      <c r="D28" s="26">
        <v>0</v>
      </c>
      <c r="E28" s="65">
        <v>0</v>
      </c>
      <c r="F28" s="26">
        <v>0</v>
      </c>
      <c r="G28" s="65">
        <v>0</v>
      </c>
      <c r="H28" s="26">
        <v>0</v>
      </c>
      <c r="I28" s="65">
        <v>0</v>
      </c>
      <c r="J28" s="26">
        <v>0</v>
      </c>
      <c r="K28" s="65">
        <v>0</v>
      </c>
      <c r="L28" s="26">
        <v>0</v>
      </c>
      <c r="M28" s="65">
        <v>0</v>
      </c>
      <c r="N28" s="26">
        <v>0</v>
      </c>
      <c r="O28" s="65">
        <v>0</v>
      </c>
      <c r="P28" s="26">
        <v>0</v>
      </c>
    </row>
    <row r="29" spans="2:16" ht="16.2" thickBot="1">
      <c r="B29" s="192"/>
      <c r="C29" s="66"/>
      <c r="D29" s="67"/>
      <c r="E29" s="66"/>
      <c r="F29" s="67"/>
      <c r="G29" s="66"/>
      <c r="H29" s="67"/>
      <c r="I29" s="66"/>
      <c r="J29" s="67"/>
      <c r="K29" s="66"/>
      <c r="L29" s="67"/>
      <c r="M29" s="66"/>
      <c r="N29" s="67"/>
      <c r="O29" s="66"/>
      <c r="P29" s="67"/>
    </row>
    <row r="30" spans="2:16" ht="16.2" thickTop="1">
      <c r="B30" s="191" t="s">
        <v>48</v>
      </c>
      <c r="C30" s="20">
        <f>IFERROR(LOOKUP(C27,价格6:价格648,翡翠100:翡翠10000),0)</f>
        <v>0</v>
      </c>
      <c r="D30" s="21">
        <f>IFERROR(LOOKUP(D27,价格6:价格648,翡翠100:翡翠10000),0)</f>
        <v>0</v>
      </c>
      <c r="E30" s="20">
        <f>IFERROR(LOOKUP(E27,价格6:价格648,翡翠100:翡翠10000),0)</f>
        <v>0</v>
      </c>
      <c r="F30" s="21">
        <f>IFERROR(LOOKUP(F27,价格6:价格648,翡翠100:翡翠10000),0)</f>
        <v>0</v>
      </c>
      <c r="G30" s="20">
        <f>IFERROR(LOOKUP(G27,价格6:价格648,翡翠100:翡翠10000),0)</f>
        <v>0</v>
      </c>
      <c r="H30" s="21">
        <f>IFERROR(LOOKUP(H27,价格6:价格648,翡翠100:翡翠10000),0)</f>
        <v>0</v>
      </c>
      <c r="I30" s="20">
        <f>IFERROR(LOOKUP(I27,价格6:价格648,翡翠100:翡翠10000),0)</f>
        <v>0</v>
      </c>
      <c r="J30" s="21">
        <f>IFERROR(LOOKUP(J27,价格6:价格648,翡翠100:翡翠10000),0)</f>
        <v>0</v>
      </c>
      <c r="K30" s="20">
        <f>IFERROR(LOOKUP(K27,价格6:价格648,翡翠100:翡翠10000),0)</f>
        <v>0</v>
      </c>
      <c r="L30" s="21">
        <f>IFERROR(LOOKUP(L27,价格6:价格648,翡翠100:翡翠10000),0)</f>
        <v>0</v>
      </c>
      <c r="M30" s="20">
        <f>IFERROR(LOOKUP(M27,价格6:价格648,翡翠100:翡翠10000),0)</f>
        <v>0</v>
      </c>
      <c r="N30" s="21">
        <f>IFERROR(LOOKUP(N27,价格6:价格648,翡翠100:翡翠10000),0)</f>
        <v>0</v>
      </c>
      <c r="O30" s="20">
        <f>IFERROR(LOOKUP(O27,价格6:价格648,翡翠100:翡翠10000),0)</f>
        <v>1000</v>
      </c>
      <c r="P30" s="21">
        <f>IFERROR(LOOKUP(P27,价格6:价格648,翡翠100:翡翠10000),0)</f>
        <v>0</v>
      </c>
    </row>
    <row r="31" spans="2:16">
      <c r="B31" s="191"/>
      <c r="C31" s="65">
        <f>IFERROR(LOOKUP(C28,价格6:价格648,翡翠100:翡翠10000),0)</f>
        <v>0</v>
      </c>
      <c r="D31" s="26">
        <f>IFERROR(LOOKUP(D28,价格6:价格648,翡翠100:翡翠10000),0)</f>
        <v>0</v>
      </c>
      <c r="E31" s="65">
        <f>IFERROR(LOOKUP(E28,价格6:价格648,翡翠100:翡翠10000),0)</f>
        <v>0</v>
      </c>
      <c r="F31" s="26">
        <f>IFERROR(LOOKUP(F28,价格6:价格648,翡翠100:翡翠10000),0)</f>
        <v>0</v>
      </c>
      <c r="G31" s="65">
        <f>IFERROR(LOOKUP(G28,价格6:价格648,翡翠100:翡翠10000),0)</f>
        <v>0</v>
      </c>
      <c r="H31" s="26">
        <f>IFERROR(LOOKUP(H28,价格6:价格648,翡翠100:翡翠10000),0)</f>
        <v>0</v>
      </c>
      <c r="I31" s="65">
        <f>IFERROR(LOOKUP(I28,价格6:价格648,翡翠100:翡翠10000),0)</f>
        <v>0</v>
      </c>
      <c r="J31" s="26">
        <f>IFERROR(LOOKUP(J28,价格6:价格648,翡翠100:翡翠10000),0)</f>
        <v>0</v>
      </c>
      <c r="K31" s="65">
        <f>IFERROR(LOOKUP(K28,价格6:价格648,翡翠100:翡翠10000),0)</f>
        <v>0</v>
      </c>
      <c r="L31" s="26">
        <f>IFERROR(LOOKUP(L28,价格6:价格648,翡翠100:翡翠10000),0)</f>
        <v>0</v>
      </c>
      <c r="M31" s="65">
        <f>IFERROR(LOOKUP(M28,价格6:价格648,翡翠100:翡翠10000),0)</f>
        <v>0</v>
      </c>
      <c r="N31" s="26">
        <f>IFERROR(LOOKUP(N28,价格6:价格648,翡翠100:翡翠10000),0)</f>
        <v>0</v>
      </c>
      <c r="O31" s="65">
        <f>IFERROR(LOOKUP(O28,价格6:价格648,翡翠100:翡翠10000),0)</f>
        <v>0</v>
      </c>
      <c r="P31" s="26">
        <v>0</v>
      </c>
    </row>
    <row r="32" spans="2:16" ht="16.2" thickBot="1">
      <c r="B32" s="192"/>
      <c r="C32" s="66"/>
      <c r="D32" s="67"/>
      <c r="E32" s="66"/>
      <c r="F32" s="67"/>
      <c r="G32" s="66"/>
      <c r="H32" s="67"/>
      <c r="I32" s="66"/>
      <c r="J32" s="67"/>
      <c r="K32" s="66"/>
      <c r="L32" s="67"/>
      <c r="M32" s="66"/>
      <c r="N32" s="67"/>
      <c r="O32" s="66"/>
      <c r="P32" s="67"/>
    </row>
    <row r="33" spans="2:19" ht="24.6" customHeight="1" thickTop="1">
      <c r="B33" s="191" t="s">
        <v>46</v>
      </c>
      <c r="C33" s="193" t="str">
        <f>SUM(C6,E6,G6,I6,K6,M6,O6)*钻石购买 &amp;"钻石"</f>
        <v>56000钻石</v>
      </c>
      <c r="D33" s="194"/>
      <c r="E33" s="194"/>
      <c r="F33" s="194"/>
      <c r="G33" s="194"/>
      <c r="H33" s="194"/>
      <c r="I33" s="199" t="str">
        <f>SUM(C27:P29) &amp;"元"</f>
        <v>68元</v>
      </c>
      <c r="J33" s="199"/>
      <c r="K33" s="199"/>
      <c r="L33" s="199"/>
      <c r="M33" s="200" t="str">
        <f>SUM(C30:P32) &amp; "翡翠"</f>
        <v>1000翡翠</v>
      </c>
      <c r="N33" s="200"/>
      <c r="O33" s="200"/>
      <c r="P33" s="201"/>
    </row>
    <row r="34" spans="2:19" ht="22.8" thickBot="1">
      <c r="B34" s="192"/>
      <c r="C34" s="196" t="str">
        <f>"最终收益："&amp;ROUNDDOWN(O26,0)&amp;B26&amp;"+"&amp;ROUNDDOWN(O25,0)&amp;B25</f>
        <v>最终收益：65鱼王之证+390921钓鱼积分</v>
      </c>
      <c r="D34" s="197"/>
      <c r="E34" s="197"/>
      <c r="F34" s="197"/>
      <c r="G34" s="197"/>
      <c r="H34" s="197"/>
      <c r="I34" s="197"/>
      <c r="J34" s="197"/>
      <c r="K34" s="197"/>
      <c r="L34" s="197"/>
      <c r="M34" s="197"/>
      <c r="N34" s="197"/>
      <c r="O34" s="197"/>
      <c r="P34" s="198"/>
    </row>
    <row r="35" spans="2:19" ht="16.2" thickTop="1"/>
    <row r="39" spans="2:19" ht="38.4" customHeight="1"/>
    <row r="40" spans="2:19" ht="17.7" customHeight="1">
      <c r="B40" s="27"/>
      <c r="C40" s="27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</row>
    <row r="41" spans="2:19" ht="17.7" customHeight="1">
      <c r="B41" s="27"/>
      <c r="C41" s="6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</row>
    <row r="42" spans="2:19" ht="17.7" customHeight="1">
      <c r="B42" s="27"/>
      <c r="C42" s="49"/>
      <c r="D42" s="50"/>
      <c r="E42" s="50"/>
      <c r="F42" s="50"/>
      <c r="G42" s="50"/>
      <c r="H42" s="50"/>
      <c r="I42" s="50"/>
      <c r="J42" s="50"/>
      <c r="K42" s="10"/>
      <c r="L42" s="10"/>
      <c r="M42" s="10"/>
      <c r="N42" s="10"/>
      <c r="O42" s="10"/>
      <c r="P42" s="10"/>
    </row>
    <row r="43" spans="2:19" ht="17.7" customHeight="1"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</row>
    <row r="44" spans="2:19">
      <c r="F44" s="195"/>
      <c r="G44" s="195"/>
      <c r="H44" s="195"/>
      <c r="I44" s="195"/>
      <c r="K44" s="188"/>
      <c r="L44" s="188"/>
      <c r="M44" s="188"/>
      <c r="N44" s="188"/>
      <c r="P44" s="188"/>
      <c r="Q44" s="188"/>
      <c r="R44" s="188"/>
      <c r="S44" s="188"/>
    </row>
    <row r="45" spans="2:19">
      <c r="K45" s="6"/>
      <c r="L45" s="6"/>
      <c r="M45" s="6"/>
      <c r="N45" s="6"/>
      <c r="P45" s="6"/>
      <c r="R45" s="6"/>
      <c r="S45" s="6"/>
    </row>
    <row r="46" spans="2:19">
      <c r="K46" s="6"/>
      <c r="L46" s="6"/>
      <c r="M46" s="6"/>
      <c r="N46" s="6"/>
      <c r="P46" s="6"/>
      <c r="R46" s="6"/>
      <c r="S46" s="6"/>
    </row>
    <row r="47" spans="2:19">
      <c r="K47" s="6"/>
      <c r="L47" s="6"/>
      <c r="M47" s="6"/>
      <c r="N47" s="6"/>
      <c r="P47" s="6"/>
      <c r="R47" s="6"/>
      <c r="S47" s="6"/>
    </row>
    <row r="48" spans="2:19">
      <c r="K48" s="6"/>
      <c r="L48" s="6"/>
      <c r="M48" s="6"/>
      <c r="N48" s="6"/>
      <c r="P48" s="25"/>
      <c r="R48" s="25"/>
      <c r="S48" s="6"/>
    </row>
    <row r="49" spans="2:16">
      <c r="G49" s="28"/>
      <c r="H49" s="28"/>
      <c r="I49" s="28"/>
      <c r="K49" s="6"/>
      <c r="M49" s="6"/>
      <c r="N49" s="6"/>
      <c r="O49" s="6"/>
      <c r="P49" s="6"/>
    </row>
    <row r="50" spans="2:16">
      <c r="F50" s="6"/>
      <c r="G50" s="6"/>
      <c r="H50" s="6"/>
      <c r="K50" s="6"/>
      <c r="M50" s="6"/>
      <c r="N50" s="6"/>
      <c r="O50" s="6"/>
      <c r="P50" s="6"/>
    </row>
    <row r="51" spans="2:16">
      <c r="B51" s="189"/>
      <c r="C51" s="189"/>
      <c r="D51" s="189"/>
      <c r="K51" s="188"/>
      <c r="L51" s="188"/>
      <c r="M51" s="188"/>
      <c r="N51" s="188"/>
    </row>
    <row r="52" spans="2:16">
      <c r="K52" s="6"/>
      <c r="M52" s="6"/>
      <c r="N52" s="6"/>
      <c r="P52" s="25"/>
    </row>
    <row r="53" spans="2:16">
      <c r="K53" s="6"/>
      <c r="M53" s="6"/>
      <c r="N53" s="6"/>
      <c r="P53" s="25"/>
    </row>
    <row r="54" spans="2:16">
      <c r="K54" s="6"/>
      <c r="M54" s="6"/>
      <c r="N54" s="6"/>
      <c r="P54" s="25"/>
    </row>
    <row r="55" spans="2:16">
      <c r="B55" s="189"/>
      <c r="C55" s="189"/>
      <c r="D55" s="189"/>
      <c r="K55" s="6"/>
      <c r="M55" s="6"/>
      <c r="N55" s="6"/>
      <c r="P55" s="25"/>
    </row>
    <row r="56" spans="2:16">
      <c r="K56" s="6"/>
      <c r="M56" s="6"/>
      <c r="N56" s="6"/>
      <c r="P56" s="25"/>
    </row>
    <row r="57" spans="2:16">
      <c r="K57" s="6"/>
      <c r="M57" s="6"/>
      <c r="N57" s="6"/>
      <c r="P57" s="25"/>
    </row>
    <row r="58" spans="2:16">
      <c r="K58" s="6"/>
      <c r="M58" s="6"/>
      <c r="N58" s="6"/>
      <c r="P58" s="25"/>
    </row>
    <row r="59" spans="2:16">
      <c r="K59" s="6"/>
      <c r="M59" s="6"/>
      <c r="N59" s="6"/>
      <c r="P59" s="25"/>
    </row>
    <row r="60" spans="2:16">
      <c r="P60" s="25"/>
    </row>
    <row r="61" spans="2:16">
      <c r="P61" s="25"/>
    </row>
    <row r="62" spans="2:16">
      <c r="P62" s="25"/>
    </row>
    <row r="63" spans="2:16">
      <c r="P63" s="25"/>
    </row>
    <row r="64" spans="2:16">
      <c r="P64" s="25"/>
    </row>
    <row r="65" spans="16:16">
      <c r="P65" s="25"/>
    </row>
    <row r="66" spans="16:16">
      <c r="P66" s="25"/>
    </row>
    <row r="67" spans="16:16">
      <c r="P67" s="25"/>
    </row>
    <row r="68" spans="16:16">
      <c r="P68" s="25"/>
    </row>
    <row r="69" spans="16:16">
      <c r="P69" s="25"/>
    </row>
    <row r="70" spans="16:16">
      <c r="P70" s="25"/>
    </row>
    <row r="71" spans="16:16">
      <c r="P71" s="25"/>
    </row>
    <row r="72" spans="16:16">
      <c r="P72" s="25"/>
    </row>
    <row r="73" spans="16:16">
      <c r="P73" s="25"/>
    </row>
    <row r="74" spans="16:16">
      <c r="P74" s="25"/>
    </row>
    <row r="75" spans="16:16">
      <c r="P75" s="25"/>
    </row>
  </sheetData>
  <mergeCells count="20">
    <mergeCell ref="O2:P2"/>
    <mergeCell ref="B27:B29"/>
    <mergeCell ref="B30:B32"/>
    <mergeCell ref="B33:B34"/>
    <mergeCell ref="C33:H33"/>
    <mergeCell ref="I33:L33"/>
    <mergeCell ref="M33:P33"/>
    <mergeCell ref="C34:P34"/>
    <mergeCell ref="C2:D2"/>
    <mergeCell ref="E2:F2"/>
    <mergeCell ref="G2:H2"/>
    <mergeCell ref="I2:J2"/>
    <mergeCell ref="K2:L2"/>
    <mergeCell ref="M2:N2"/>
    <mergeCell ref="K44:N44"/>
    <mergeCell ref="P44:S44"/>
    <mergeCell ref="B51:D51"/>
    <mergeCell ref="K51:N51"/>
    <mergeCell ref="B55:D55"/>
    <mergeCell ref="F44:I44"/>
  </mergeCells>
  <phoneticPr fontId="20" type="noConversion"/>
  <conditionalFormatting sqref="B6:P6">
    <cfRule type="cellIs" dxfId="20" priority="4" operator="greaterThan">
      <formula>0</formula>
    </cfRule>
  </conditionalFormatting>
  <conditionalFormatting sqref="B10:P10">
    <cfRule type="cellIs" dxfId="19" priority="1" operator="greaterThan">
      <formula>0</formula>
    </cfRule>
  </conditionalFormatting>
  <conditionalFormatting sqref="B11:P12">
    <cfRule type="cellIs" dxfId="18" priority="3" operator="greaterThan">
      <formula>0</formula>
    </cfRule>
  </conditionalFormatting>
  <conditionalFormatting sqref="C7:P7">
    <cfRule type="cellIs" dxfId="17" priority="2" operator="greaterThan">
      <formula>0</formula>
    </cfRule>
  </conditionalFormatting>
  <conditionalFormatting sqref="C13:P13">
    <cfRule type="cellIs" dxfId="16" priority="7" operator="greaterThan">
      <formula>0</formula>
    </cfRule>
  </conditionalFormatting>
  <conditionalFormatting sqref="C15:P15">
    <cfRule type="cellIs" dxfId="15" priority="5" operator="greaterThan">
      <formula>0</formula>
    </cfRule>
  </conditionalFormatting>
  <conditionalFormatting sqref="C17:P17">
    <cfRule type="cellIs" dxfId="14" priority="6" operator="greaterThan">
      <formula>0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D5107-7559-451A-8068-2445CB59F6BA}">
  <dimension ref="A1:U30"/>
  <sheetViews>
    <sheetView topLeftCell="A4" workbookViewId="0">
      <selection activeCell="J8" sqref="J8:J15"/>
    </sheetView>
  </sheetViews>
  <sheetFormatPr defaultRowHeight="15.6"/>
  <cols>
    <col min="1" max="1" width="9.33203125" style="33" customWidth="1"/>
    <col min="2" max="2" width="8.88671875" style="33" customWidth="1"/>
    <col min="3" max="3" width="53.109375" style="33" customWidth="1"/>
    <col min="4" max="4" width="9.109375" style="33" bestFit="1" customWidth="1"/>
    <col min="5" max="7" width="11.109375" style="33" bestFit="1" customWidth="1"/>
    <col min="8" max="9" width="15.77734375" style="33" customWidth="1"/>
    <col min="10" max="10" width="8.88671875" style="33"/>
    <col min="11" max="11" width="17.44140625" style="33" customWidth="1"/>
    <col min="12" max="12" width="16.77734375" style="33" customWidth="1"/>
    <col min="13" max="13" width="14.109375" style="33" customWidth="1"/>
    <col min="14" max="14" width="8.88671875" style="33"/>
    <col min="15" max="15" width="17.44140625" style="33" customWidth="1"/>
    <col min="16" max="16384" width="8.88671875" style="33"/>
  </cols>
  <sheetData>
    <row r="1" spans="1:21" ht="16.2" thickBot="1"/>
    <row r="2" spans="1:21" ht="24" customHeight="1" thickTop="1" thickBot="1">
      <c r="B2" s="122" t="s">
        <v>218</v>
      </c>
      <c r="C2" s="123"/>
      <c r="D2" s="123"/>
      <c r="E2" s="123"/>
      <c r="F2" s="123"/>
      <c r="G2" s="123"/>
      <c r="H2" s="123"/>
      <c r="I2" s="124"/>
      <c r="R2" s="51"/>
    </row>
    <row r="3" spans="1:21" ht="17.55" customHeight="1" thickTop="1">
      <c r="B3" s="127" t="s">
        <v>45</v>
      </c>
      <c r="C3" s="128"/>
      <c r="D3" s="127" t="str">
        <f>"期望"&amp;普通兑换道具</f>
        <v>期望钓鱼积分</v>
      </c>
      <c r="E3" s="131"/>
      <c r="F3" s="128"/>
      <c r="G3" s="131" t="str">
        <f>"期望"&amp;高级兑换道具</f>
        <v>期望鱼王之证</v>
      </c>
      <c r="H3" s="131"/>
      <c r="I3" s="128"/>
      <c r="R3" s="51"/>
    </row>
    <row r="4" spans="1:21" ht="12.6" customHeight="1">
      <c r="B4" s="129"/>
      <c r="C4" s="130"/>
      <c r="D4" s="129"/>
      <c r="E4" s="132"/>
      <c r="F4" s="130"/>
      <c r="G4" s="132"/>
      <c r="H4" s="132"/>
      <c r="I4" s="130"/>
      <c r="R4" s="51"/>
      <c r="T4" s="52"/>
      <c r="U4" s="52"/>
    </row>
    <row r="5" spans="1:21" ht="20.85" customHeight="1" thickBot="1">
      <c r="B5" s="125" t="s">
        <v>214</v>
      </c>
      <c r="C5" s="126"/>
      <c r="D5" s="135">
        <f>'1000翡翠灰烬龙'!O25</f>
        <v>390921.5</v>
      </c>
      <c r="E5" s="136"/>
      <c r="F5" s="137"/>
      <c r="G5" s="133">
        <f>'1000翡翠灰烬龙'!O26</f>
        <v>65.637</v>
      </c>
      <c r="H5" s="133"/>
      <c r="I5" s="134"/>
      <c r="R5" s="51"/>
      <c r="T5" s="52"/>
      <c r="U5" s="52"/>
    </row>
    <row r="6" spans="1:21" ht="17.55" customHeight="1" thickTop="1">
      <c r="B6" s="116" t="s">
        <v>216</v>
      </c>
      <c r="C6" s="117"/>
      <c r="D6" s="117"/>
      <c r="E6" s="117"/>
      <c r="F6" s="117"/>
      <c r="G6" s="117"/>
      <c r="H6" s="117"/>
      <c r="I6" s="118"/>
      <c r="R6" s="51"/>
    </row>
    <row r="7" spans="1:21" ht="17.55" customHeight="1" thickBot="1">
      <c r="B7" s="119"/>
      <c r="C7" s="120"/>
      <c r="D7" s="120"/>
      <c r="E7" s="120"/>
      <c r="F7" s="120"/>
      <c r="G7" s="120"/>
      <c r="H7" s="120"/>
      <c r="I7" s="121"/>
      <c r="R7" s="51"/>
    </row>
    <row r="8" spans="1:21" ht="32.4" customHeight="1" thickTop="1">
      <c r="A8" s="43" t="s">
        <v>239</v>
      </c>
      <c r="B8" s="42" t="s">
        <v>35</v>
      </c>
      <c r="C8" s="43" t="s">
        <v>44</v>
      </c>
      <c r="D8" s="43" t="str">
        <f>'1000翡翠灰烬龙'!B20</f>
        <v>目标档位</v>
      </c>
      <c r="E8" s="43" t="str">
        <f>'1000翡翠灰烬龙'!B13</f>
        <v>使用鱼饵</v>
      </c>
      <c r="F8" s="43" t="str">
        <f>'1000翡翠灰烬龙'!B14</f>
        <v>剩余鱼饵</v>
      </c>
      <c r="G8" s="43" t="str">
        <f>'1000翡翠灰烬龙'!B16</f>
        <v>剩余随机箱</v>
      </c>
      <c r="H8" s="43" t="str">
        <f>"期望"&amp;普通兑换道具</f>
        <v>期望钓鱼积分</v>
      </c>
      <c r="I8" s="44" t="str">
        <f>"期望"&amp;高级兑换道具</f>
        <v>期望鱼王之证</v>
      </c>
      <c r="J8" s="44" t="s">
        <v>238</v>
      </c>
      <c r="R8" s="51"/>
    </row>
    <row r="9" spans="1:21" ht="36">
      <c r="B9" s="40" t="s">
        <v>36</v>
      </c>
      <c r="C9" s="36" t="s">
        <v>206</v>
      </c>
      <c r="D9" s="36" t="str">
        <f>'1000翡翠灰烬龙'!C20</f>
        <v>第2档</v>
      </c>
      <c r="E9" s="36">
        <f>'1000翡翠灰烬龙'!C13</f>
        <v>40</v>
      </c>
      <c r="F9" s="36">
        <f>'1000翡翠灰烬龙'!C14</f>
        <v>85</v>
      </c>
      <c r="G9" s="36">
        <f>'1000翡翠灰烬龙'!C16</f>
        <v>1</v>
      </c>
      <c r="H9" s="37">
        <f>'1000翡翠灰烬龙'!C25</f>
        <v>3900</v>
      </c>
      <c r="I9" s="41">
        <f>'1000翡翠灰烬龙'!C26</f>
        <v>1</v>
      </c>
      <c r="J9" s="83">
        <f>'1000翡翠灰烬龙'!D20</f>
        <v>635</v>
      </c>
      <c r="R9" s="51"/>
    </row>
    <row r="10" spans="1:21" ht="28.2">
      <c r="B10" s="38" t="s">
        <v>37</v>
      </c>
      <c r="C10" s="34" t="s">
        <v>207</v>
      </c>
      <c r="D10" s="34" t="str">
        <f>'1000翡翠灰烬龙'!E20</f>
        <v>第2档</v>
      </c>
      <c r="E10" s="34">
        <f>'1000翡翠灰烬龙'!E13</f>
        <v>120</v>
      </c>
      <c r="F10" s="34">
        <f>'1000翡翠灰烬龙'!E14</f>
        <v>85</v>
      </c>
      <c r="G10" s="34">
        <f>'1000翡翠灰烬龙'!E16</f>
        <v>2</v>
      </c>
      <c r="H10" s="35">
        <f>'1000翡翠灰烬龙'!E25</f>
        <v>20255.5</v>
      </c>
      <c r="I10" s="39">
        <f>'1000翡翠灰烬龙'!E26</f>
        <v>4</v>
      </c>
      <c r="J10" s="83">
        <f>'1000翡翠灰烬龙'!F20</f>
        <v>630</v>
      </c>
      <c r="R10" s="51"/>
    </row>
    <row r="11" spans="1:21" ht="28.2">
      <c r="B11" s="38" t="s">
        <v>38</v>
      </c>
      <c r="C11" s="34" t="s">
        <v>207</v>
      </c>
      <c r="D11" s="34" t="str">
        <f>'1000翡翠灰烬龙'!G20</f>
        <v>第2档</v>
      </c>
      <c r="E11" s="35">
        <f>'1000翡翠灰烬龙'!G13</f>
        <v>120</v>
      </c>
      <c r="F11" s="35">
        <f>'1000翡翠灰烬龙'!G14</f>
        <v>85</v>
      </c>
      <c r="G11" s="35">
        <f>'1000翡翠灰烬龙'!G16</f>
        <v>3</v>
      </c>
      <c r="H11" s="35">
        <f>'1000翡翠灰烬龙'!G25</f>
        <v>47209.5</v>
      </c>
      <c r="I11" s="39">
        <f>'1000翡翠灰烬龙'!G26</f>
        <v>7</v>
      </c>
      <c r="J11" s="83">
        <f>垂钓盛典5.6w!H20</f>
        <v>630</v>
      </c>
      <c r="R11" s="51"/>
    </row>
    <row r="12" spans="1:21" ht="39.6">
      <c r="A12" s="33" t="s">
        <v>208</v>
      </c>
      <c r="B12" s="38" t="s">
        <v>39</v>
      </c>
      <c r="C12" s="34" t="s">
        <v>209</v>
      </c>
      <c r="D12" s="34" t="str">
        <f>'1000翡翠灰烬龙'!I20</f>
        <v>第3档</v>
      </c>
      <c r="E12" s="35">
        <f>'1000翡翠灰烬龙'!I13</f>
        <v>290</v>
      </c>
      <c r="F12" s="35">
        <f>'1000翡翠灰烬龙'!I14</f>
        <v>0</v>
      </c>
      <c r="G12" s="35">
        <f>'1000翡翠灰烬龙'!I16</f>
        <v>9</v>
      </c>
      <c r="H12" s="35">
        <f>'1000翡翠灰烬龙'!I25</f>
        <v>176121.5</v>
      </c>
      <c r="I12" s="39">
        <f>'1000翡翠灰烬龙'!I26</f>
        <v>14.25</v>
      </c>
      <c r="J12" s="83">
        <f>'1000翡翠灰烬龙'!J20</f>
        <v>1097.5</v>
      </c>
      <c r="R12" s="51"/>
    </row>
    <row r="13" spans="1:21" ht="52.8">
      <c r="A13" s="33" t="s">
        <v>208</v>
      </c>
      <c r="B13" s="38" t="s">
        <v>40</v>
      </c>
      <c r="C13" s="34" t="s">
        <v>210</v>
      </c>
      <c r="D13" s="34" t="str">
        <f>'1000翡翠灰烬龙'!K20</f>
        <v>第3档</v>
      </c>
      <c r="E13" s="34">
        <f>'1000翡翠灰烬龙'!K13</f>
        <v>190</v>
      </c>
      <c r="F13" s="34">
        <f>'1000翡翠灰烬龙'!K14</f>
        <v>0</v>
      </c>
      <c r="G13" s="34">
        <f>'1000翡翠灰烬龙'!K16</f>
        <v>8</v>
      </c>
      <c r="H13" s="35">
        <f>'1000翡翠灰烬龙'!K25</f>
        <v>256341.5</v>
      </c>
      <c r="I13" s="39">
        <f>'1000翡翠灰烬龙'!K26</f>
        <v>26.356999999999999</v>
      </c>
      <c r="J13" s="83">
        <f>'1000翡翠灰烬龙'!L20</f>
        <v>1071.07</v>
      </c>
      <c r="R13" s="51"/>
    </row>
    <row r="14" spans="1:21" ht="52.8">
      <c r="A14" s="33" t="s">
        <v>208</v>
      </c>
      <c r="B14" s="38" t="s">
        <v>41</v>
      </c>
      <c r="C14" s="34" t="s">
        <v>210</v>
      </c>
      <c r="D14" s="34" t="str">
        <f>'1000翡翠灰烬龙'!M20</f>
        <v>第3档</v>
      </c>
      <c r="E14" s="34">
        <f>'1000翡翠灰烬龙'!M13</f>
        <v>190</v>
      </c>
      <c r="F14" s="34">
        <f>'1000翡翠灰烬龙'!M14</f>
        <v>0</v>
      </c>
      <c r="G14" s="34">
        <f>'1000翡翠灰烬龙'!M16</f>
        <v>7</v>
      </c>
      <c r="H14" s="35">
        <f>'1000翡翠灰烬龙'!M25</f>
        <v>334761.5</v>
      </c>
      <c r="I14" s="39">
        <f>'1000翡翠灰烬龙'!M26</f>
        <v>38.463999999999999</v>
      </c>
      <c r="J14" s="83">
        <f>'1000翡翠灰烬龙'!N20</f>
        <v>1071.07</v>
      </c>
      <c r="R14" s="51"/>
    </row>
    <row r="15" spans="1:21" ht="36.6" thickBot="1">
      <c r="B15" s="45" t="s">
        <v>42</v>
      </c>
      <c r="C15" s="47" t="s">
        <v>217</v>
      </c>
      <c r="D15" s="47" t="str">
        <f>'1000翡翠灰烬龙'!O20</f>
        <v>第2档</v>
      </c>
      <c r="E15" s="46">
        <f>'1000翡翠灰烬龙'!O13</f>
        <v>120</v>
      </c>
      <c r="F15" s="46">
        <f>'1000翡翠灰烬龙'!O14</f>
        <v>0</v>
      </c>
      <c r="G15" s="46">
        <f>'1000翡翠灰烬龙'!O16</f>
        <v>0</v>
      </c>
      <c r="H15" s="47">
        <f>'1000翡翠灰烬龙'!O25</f>
        <v>390921.5</v>
      </c>
      <c r="I15" s="48">
        <f>'1000翡翠灰烬龙'!O26</f>
        <v>65.637</v>
      </c>
      <c r="J15" s="83">
        <f>'1000翡翠灰烬龙'!P20</f>
        <v>871.73</v>
      </c>
      <c r="R15" s="51"/>
    </row>
    <row r="16" spans="1:21" ht="21" customHeight="1" thickTop="1" thickBot="1">
      <c r="B16" s="88"/>
      <c r="C16" s="89"/>
      <c r="D16" s="90"/>
      <c r="E16" s="89"/>
      <c r="F16" s="89"/>
      <c r="G16" s="89"/>
      <c r="H16" s="90"/>
      <c r="I16" s="91"/>
      <c r="R16" s="51"/>
    </row>
    <row r="17" spans="2:18" ht="18.45" customHeight="1" thickTop="1">
      <c r="B17" s="110" t="s">
        <v>43</v>
      </c>
      <c r="C17" s="111"/>
      <c r="D17" s="111"/>
      <c r="E17" s="111"/>
      <c r="F17" s="111"/>
      <c r="G17" s="111"/>
      <c r="H17" s="111"/>
      <c r="I17" s="112"/>
      <c r="R17" s="51"/>
    </row>
    <row r="18" spans="2:18" ht="66" customHeight="1" thickBot="1">
      <c r="B18" s="113" t="s">
        <v>219</v>
      </c>
      <c r="C18" s="114"/>
      <c r="D18" s="114"/>
      <c r="E18" s="114"/>
      <c r="F18" s="114"/>
      <c r="G18" s="114"/>
      <c r="H18" s="114"/>
      <c r="I18" s="115"/>
      <c r="R18" s="51"/>
    </row>
    <row r="19" spans="2:18" ht="34.5" customHeight="1" thickTop="1">
      <c r="B19" s="53" t="s">
        <v>88</v>
      </c>
      <c r="C19" s="53"/>
      <c r="D19" s="53"/>
      <c r="E19" s="53"/>
      <c r="F19" s="53"/>
      <c r="G19" s="53"/>
      <c r="H19" s="53"/>
      <c r="I19" s="53"/>
      <c r="R19" s="51"/>
    </row>
    <row r="20" spans="2:18" ht="12.9" customHeight="1">
      <c r="B20" s="53"/>
      <c r="C20" s="53"/>
      <c r="D20" s="53"/>
      <c r="E20" s="53"/>
      <c r="F20" s="53"/>
      <c r="G20" s="53"/>
      <c r="H20" s="53"/>
      <c r="I20" s="53"/>
      <c r="R20" s="51"/>
    </row>
    <row r="21" spans="2:18" ht="15.6" customHeight="1">
      <c r="R21" s="51"/>
    </row>
    <row r="22" spans="2:18" ht="16.2" customHeight="1">
      <c r="B22" s="54"/>
      <c r="C22" s="54"/>
      <c r="D22" s="54"/>
      <c r="E22" s="54"/>
      <c r="F22" s="54"/>
      <c r="G22" s="54"/>
      <c r="H22" s="54"/>
      <c r="I22" s="54"/>
      <c r="R22" s="51"/>
    </row>
    <row r="23" spans="2:18" ht="15.3" customHeight="1">
      <c r="B23" s="54"/>
      <c r="C23" s="54"/>
      <c r="D23" s="54"/>
      <c r="E23" s="54"/>
      <c r="F23" s="54"/>
      <c r="G23" s="54"/>
      <c r="H23" s="54"/>
      <c r="I23" s="54"/>
      <c r="R23" s="51"/>
    </row>
    <row r="24" spans="2:18" ht="22.95" customHeight="1">
      <c r="B24" s="54"/>
      <c r="C24" s="54"/>
      <c r="D24" s="54"/>
      <c r="E24" s="54"/>
      <c r="F24" s="54"/>
      <c r="G24" s="54"/>
      <c r="H24" s="54"/>
      <c r="I24" s="54"/>
      <c r="R24" s="51"/>
    </row>
    <row r="25" spans="2:18" ht="22.95" customHeight="1">
      <c r="N25" s="51"/>
      <c r="O25" s="51"/>
      <c r="P25" s="51"/>
      <c r="Q25" s="51"/>
      <c r="R25" s="51"/>
    </row>
    <row r="26" spans="2:18" ht="22.95" customHeight="1">
      <c r="N26" s="51"/>
      <c r="O26" s="51"/>
      <c r="P26" s="51"/>
      <c r="Q26" s="51"/>
      <c r="R26" s="51"/>
    </row>
    <row r="27" spans="2:18" ht="15.6" customHeight="1">
      <c r="N27" s="51"/>
      <c r="O27" s="51"/>
      <c r="P27" s="51"/>
      <c r="Q27" s="51"/>
      <c r="R27" s="51"/>
    </row>
    <row r="28" spans="2:18" ht="20.55" customHeight="1">
      <c r="N28" s="51"/>
      <c r="O28" s="51"/>
      <c r="P28" s="51"/>
      <c r="Q28" s="51"/>
      <c r="R28" s="51"/>
    </row>
    <row r="29" spans="2:18" ht="15.6" customHeight="1">
      <c r="N29" s="51"/>
      <c r="O29" s="51"/>
      <c r="P29" s="51"/>
      <c r="Q29" s="51"/>
      <c r="R29" s="51"/>
    </row>
    <row r="30" spans="2:18" ht="17.850000000000001" customHeight="1"/>
  </sheetData>
  <mergeCells count="10">
    <mergeCell ref="B6:I7"/>
    <mergeCell ref="B17:I17"/>
    <mergeCell ref="B18:I18"/>
    <mergeCell ref="B2:I2"/>
    <mergeCell ref="B3:C4"/>
    <mergeCell ref="D3:F4"/>
    <mergeCell ref="G3:I4"/>
    <mergeCell ref="B5:C5"/>
    <mergeCell ref="D5:F5"/>
    <mergeCell ref="G5:I5"/>
  </mergeCells>
  <phoneticPr fontId="20" type="noConversion"/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0EB8A-02CE-415C-A53E-1C7E43920440}">
  <dimension ref="B1:S75"/>
  <sheetViews>
    <sheetView workbookViewId="0">
      <selection activeCell="M10" sqref="M10"/>
    </sheetView>
  </sheetViews>
  <sheetFormatPr defaultRowHeight="15.6"/>
  <cols>
    <col min="1" max="1" width="3.77734375" style="1" customWidth="1"/>
    <col min="2" max="2" width="16.109375" style="1" customWidth="1"/>
    <col min="3" max="16" width="10.77734375" style="1" customWidth="1"/>
    <col min="17" max="17" width="7.77734375" style="1" customWidth="1"/>
    <col min="18" max="18" width="13.5546875" style="1" customWidth="1"/>
    <col min="19" max="19" width="9.88671875" style="1" customWidth="1"/>
    <col min="20" max="20" width="13.6640625" style="1" customWidth="1"/>
    <col min="21" max="21" width="14.6640625" style="1" customWidth="1"/>
    <col min="22" max="16384" width="8.88671875" style="1"/>
  </cols>
  <sheetData>
    <row r="1" spans="2:16" ht="16.2" thickBot="1"/>
    <row r="2" spans="2:16" ht="16.2" thickTop="1">
      <c r="B2" s="14"/>
      <c r="C2" s="186" t="s">
        <v>25</v>
      </c>
      <c r="D2" s="187"/>
      <c r="E2" s="186" t="s">
        <v>26</v>
      </c>
      <c r="F2" s="187"/>
      <c r="G2" s="186" t="s">
        <v>27</v>
      </c>
      <c r="H2" s="187"/>
      <c r="I2" s="186" t="s">
        <v>28</v>
      </c>
      <c r="J2" s="187"/>
      <c r="K2" s="186" t="s">
        <v>29</v>
      </c>
      <c r="L2" s="187"/>
      <c r="M2" s="186" t="s">
        <v>30</v>
      </c>
      <c r="N2" s="187"/>
      <c r="O2" s="186" t="s">
        <v>31</v>
      </c>
      <c r="P2" s="187"/>
    </row>
    <row r="3" spans="2:16" ht="16.2" thickBot="1">
      <c r="B3" s="15"/>
      <c r="C3" s="3" t="str">
        <f>抽奖道具</f>
        <v>鱼饵</v>
      </c>
      <c r="D3" s="4" t="s">
        <v>6</v>
      </c>
      <c r="E3" s="3" t="str">
        <f>抽奖道具</f>
        <v>鱼饵</v>
      </c>
      <c r="F3" s="4" t="s">
        <v>6</v>
      </c>
      <c r="G3" s="3" t="str">
        <f>抽奖道具</f>
        <v>鱼饵</v>
      </c>
      <c r="H3" s="4" t="s">
        <v>6</v>
      </c>
      <c r="I3" s="3" t="str">
        <f>抽奖道具</f>
        <v>鱼饵</v>
      </c>
      <c r="J3" s="4" t="s">
        <v>6</v>
      </c>
      <c r="K3" s="3" t="str">
        <f>抽奖道具</f>
        <v>鱼饵</v>
      </c>
      <c r="L3" s="4" t="s">
        <v>6</v>
      </c>
      <c r="M3" s="3" t="str">
        <f>抽奖道具</f>
        <v>鱼饵</v>
      </c>
      <c r="N3" s="4" t="s">
        <v>6</v>
      </c>
      <c r="O3" s="3" t="str">
        <f>抽奖道具</f>
        <v>鱼饵</v>
      </c>
      <c r="P3" s="4" t="s">
        <v>6</v>
      </c>
    </row>
    <row r="4" spans="2:16" ht="16.2" thickTop="1">
      <c r="B4" s="58" t="s">
        <v>53</v>
      </c>
      <c r="C4" s="3">
        <v>5</v>
      </c>
      <c r="D4" s="4">
        <f t="shared" ref="D4:P12" si="0">C4*积分规则1</f>
        <v>25</v>
      </c>
      <c r="E4" s="3"/>
      <c r="F4" s="4">
        <f t="shared" ref="F4:F12" si="1">E4*积分规则1</f>
        <v>0</v>
      </c>
      <c r="G4" s="3"/>
      <c r="H4" s="4">
        <f t="shared" ref="H4:H12" si="2">G4*积分规则1</f>
        <v>0</v>
      </c>
      <c r="I4" s="3"/>
      <c r="J4" s="4">
        <f t="shared" ref="J4:J12" si="3">I4*积分规则1</f>
        <v>0</v>
      </c>
      <c r="K4" s="3"/>
      <c r="L4" s="4">
        <f t="shared" ref="L4:L12" si="4">K4*积分规则1</f>
        <v>0</v>
      </c>
      <c r="M4" s="3"/>
      <c r="N4" s="4">
        <f t="shared" ref="N4:N12" si="5">M4*积分规则1</f>
        <v>0</v>
      </c>
      <c r="O4" s="3"/>
      <c r="P4" s="4">
        <f t="shared" ref="P4:P12" si="6">O4*积分规则1</f>
        <v>0</v>
      </c>
    </row>
    <row r="5" spans="2:16">
      <c r="B5" s="15" t="s">
        <v>32</v>
      </c>
      <c r="C5" s="3">
        <v>40</v>
      </c>
      <c r="D5" s="4">
        <f t="shared" si="0"/>
        <v>200</v>
      </c>
      <c r="E5" s="3">
        <v>40</v>
      </c>
      <c r="F5" s="4">
        <f t="shared" si="1"/>
        <v>200</v>
      </c>
      <c r="G5" s="3">
        <v>40</v>
      </c>
      <c r="H5" s="4">
        <f t="shared" si="2"/>
        <v>200</v>
      </c>
      <c r="I5" s="3">
        <v>40</v>
      </c>
      <c r="J5" s="4">
        <f t="shared" si="3"/>
        <v>200</v>
      </c>
      <c r="K5" s="3">
        <v>40</v>
      </c>
      <c r="L5" s="4">
        <f t="shared" si="4"/>
        <v>200</v>
      </c>
      <c r="M5" s="3">
        <v>40</v>
      </c>
      <c r="N5" s="4">
        <f t="shared" si="5"/>
        <v>200</v>
      </c>
      <c r="O5" s="3">
        <v>40</v>
      </c>
      <c r="P5" s="4">
        <f t="shared" si="6"/>
        <v>200</v>
      </c>
    </row>
    <row r="6" spans="2:16">
      <c r="B6" s="16" t="s">
        <v>17</v>
      </c>
      <c r="C6" s="3">
        <v>80</v>
      </c>
      <c r="D6" s="4">
        <f t="shared" si="0"/>
        <v>400</v>
      </c>
      <c r="E6" s="3">
        <v>80</v>
      </c>
      <c r="F6" s="4">
        <f t="shared" si="1"/>
        <v>400</v>
      </c>
      <c r="G6" s="3">
        <v>0</v>
      </c>
      <c r="H6" s="4">
        <f t="shared" si="2"/>
        <v>0</v>
      </c>
      <c r="I6" s="3">
        <v>0</v>
      </c>
      <c r="J6" s="4">
        <f t="shared" si="3"/>
        <v>0</v>
      </c>
      <c r="K6" s="3">
        <v>0</v>
      </c>
      <c r="L6" s="4">
        <f t="shared" si="4"/>
        <v>0</v>
      </c>
      <c r="M6" s="3">
        <v>0</v>
      </c>
      <c r="N6" s="4">
        <f t="shared" si="5"/>
        <v>0</v>
      </c>
      <c r="O6" s="3">
        <v>0</v>
      </c>
      <c r="P6" s="4">
        <f t="shared" si="6"/>
        <v>0</v>
      </c>
    </row>
    <row r="7" spans="2:16">
      <c r="B7" s="80" t="s">
        <v>49</v>
      </c>
      <c r="C7" s="3"/>
      <c r="D7" s="4">
        <f t="shared" si="0"/>
        <v>0</v>
      </c>
      <c r="E7" s="3">
        <v>25</v>
      </c>
      <c r="F7" s="4">
        <f t="shared" si="1"/>
        <v>125</v>
      </c>
      <c r="G7" s="3"/>
      <c r="H7" s="4">
        <f t="shared" si="2"/>
        <v>0</v>
      </c>
      <c r="I7" s="3">
        <v>0</v>
      </c>
      <c r="J7" s="4">
        <f t="shared" si="3"/>
        <v>0</v>
      </c>
      <c r="K7" s="3">
        <v>0</v>
      </c>
      <c r="L7" s="4">
        <f t="shared" si="4"/>
        <v>0</v>
      </c>
      <c r="M7" s="3">
        <v>0</v>
      </c>
      <c r="N7" s="4">
        <f t="shared" si="5"/>
        <v>0</v>
      </c>
      <c r="O7" s="3">
        <v>0</v>
      </c>
      <c r="P7" s="4">
        <f t="shared" si="6"/>
        <v>0</v>
      </c>
    </row>
    <row r="8" spans="2:16">
      <c r="B8" s="15" t="s">
        <v>50</v>
      </c>
      <c r="C8" s="3"/>
      <c r="D8" s="4">
        <f t="shared" si="0"/>
        <v>0</v>
      </c>
      <c r="E8" s="3"/>
      <c r="F8" s="4">
        <f t="shared" si="1"/>
        <v>0</v>
      </c>
      <c r="G8" s="3"/>
      <c r="H8" s="4">
        <f t="shared" si="2"/>
        <v>0</v>
      </c>
      <c r="I8" s="3"/>
      <c r="J8" s="4">
        <f t="shared" si="3"/>
        <v>0</v>
      </c>
      <c r="K8" s="3"/>
      <c r="L8" s="4">
        <f t="shared" si="4"/>
        <v>0</v>
      </c>
      <c r="M8" s="3"/>
      <c r="N8" s="4">
        <f t="shared" si="5"/>
        <v>0</v>
      </c>
      <c r="O8" s="3"/>
      <c r="P8" s="4">
        <f t="shared" si="6"/>
        <v>0</v>
      </c>
    </row>
    <row r="9" spans="2:16">
      <c r="B9" s="15" t="s">
        <v>58</v>
      </c>
      <c r="C9" s="3">
        <v>0</v>
      </c>
      <c r="D9" s="4">
        <f t="shared" si="0"/>
        <v>0</v>
      </c>
      <c r="E9" s="3">
        <v>0</v>
      </c>
      <c r="F9" s="4">
        <f t="shared" si="0"/>
        <v>0</v>
      </c>
      <c r="G9" s="3">
        <v>0</v>
      </c>
      <c r="H9" s="4">
        <f t="shared" si="0"/>
        <v>0</v>
      </c>
      <c r="I9" s="3">
        <v>0</v>
      </c>
      <c r="J9" s="4">
        <f t="shared" si="0"/>
        <v>0</v>
      </c>
      <c r="K9" s="3">
        <v>0</v>
      </c>
      <c r="L9" s="4">
        <f t="shared" si="0"/>
        <v>0</v>
      </c>
      <c r="M9" s="3">
        <v>0</v>
      </c>
      <c r="N9" s="4">
        <f t="shared" si="0"/>
        <v>0</v>
      </c>
      <c r="O9" s="3">
        <v>0</v>
      </c>
      <c r="P9" s="4">
        <f t="shared" si="0"/>
        <v>0</v>
      </c>
    </row>
    <row r="10" spans="2:16" ht="16.2" thickBot="1">
      <c r="B10" s="59" t="s">
        <v>194</v>
      </c>
      <c r="C10" s="3">
        <v>0</v>
      </c>
      <c r="D10" s="4">
        <f>C10*积分规则1</f>
        <v>0</v>
      </c>
      <c r="E10" s="3">
        <v>60</v>
      </c>
      <c r="F10" s="4">
        <f>E10*积分规则1</f>
        <v>300</v>
      </c>
      <c r="G10" s="3">
        <v>0</v>
      </c>
      <c r="H10" s="4">
        <f>G10*积分规则1</f>
        <v>0</v>
      </c>
      <c r="I10" s="3">
        <v>0</v>
      </c>
      <c r="J10" s="4">
        <f>I10*积分规则1</f>
        <v>0</v>
      </c>
      <c r="K10" s="3">
        <v>0</v>
      </c>
      <c r="L10" s="4">
        <f>K10*积分规则1</f>
        <v>0</v>
      </c>
      <c r="M10" s="3">
        <v>0</v>
      </c>
      <c r="N10" s="4">
        <f>M10*积分规则1</f>
        <v>0</v>
      </c>
      <c r="O10" s="3">
        <v>140</v>
      </c>
      <c r="P10" s="4">
        <f>O10*积分规则1</f>
        <v>700</v>
      </c>
    </row>
    <row r="11" spans="2:16" ht="16.2" thickTop="1">
      <c r="B11" s="60" t="s">
        <v>51</v>
      </c>
      <c r="C11" s="3"/>
      <c r="D11" s="4">
        <f t="shared" si="0"/>
        <v>0</v>
      </c>
      <c r="E11" s="3"/>
      <c r="F11" s="4">
        <f t="shared" si="1"/>
        <v>0</v>
      </c>
      <c r="G11" s="3"/>
      <c r="H11" s="4">
        <f t="shared" si="2"/>
        <v>0</v>
      </c>
      <c r="I11" s="3"/>
      <c r="J11" s="4">
        <f t="shared" si="3"/>
        <v>0</v>
      </c>
      <c r="K11" s="3"/>
      <c r="L11" s="4">
        <f t="shared" si="4"/>
        <v>0</v>
      </c>
      <c r="M11" s="3"/>
      <c r="N11" s="4">
        <f t="shared" si="5"/>
        <v>0</v>
      </c>
      <c r="O11" s="3"/>
      <c r="P11" s="4">
        <f t="shared" si="6"/>
        <v>0</v>
      </c>
    </row>
    <row r="12" spans="2:16" ht="16.2" thickBot="1">
      <c r="B12" s="61" t="s">
        <v>52</v>
      </c>
      <c r="C12" s="3"/>
      <c r="D12" s="4">
        <f t="shared" si="0"/>
        <v>0</v>
      </c>
      <c r="E12" s="3"/>
      <c r="F12" s="4">
        <f t="shared" si="1"/>
        <v>0</v>
      </c>
      <c r="G12" s="3"/>
      <c r="H12" s="4">
        <f t="shared" si="2"/>
        <v>0</v>
      </c>
      <c r="I12" s="3"/>
      <c r="J12" s="4">
        <f t="shared" si="3"/>
        <v>0</v>
      </c>
      <c r="K12" s="3"/>
      <c r="L12" s="4">
        <f t="shared" si="4"/>
        <v>0</v>
      </c>
      <c r="M12" s="3"/>
      <c r="N12" s="4">
        <f t="shared" si="5"/>
        <v>0</v>
      </c>
      <c r="O12" s="3"/>
      <c r="P12" s="4">
        <f t="shared" si="6"/>
        <v>0</v>
      </c>
    </row>
    <row r="13" spans="2:16" ht="16.2" thickTop="1">
      <c r="B13" s="69" t="str">
        <f>"使用"&amp;抽奖道具</f>
        <v>使用鱼饵</v>
      </c>
      <c r="C13" s="3">
        <v>40</v>
      </c>
      <c r="D13" s="4">
        <f>C13*积分规则3</f>
        <v>10</v>
      </c>
      <c r="E13" s="3">
        <v>265</v>
      </c>
      <c r="F13" s="4">
        <f>E13*积分规则3</f>
        <v>66.25</v>
      </c>
      <c r="G13" s="3">
        <v>0</v>
      </c>
      <c r="H13" s="4">
        <f>G13*积分规则3</f>
        <v>0</v>
      </c>
      <c r="I13" s="3">
        <v>0</v>
      </c>
      <c r="J13" s="4">
        <f>I13*积分规则3</f>
        <v>0</v>
      </c>
      <c r="K13" s="3">
        <v>0</v>
      </c>
      <c r="L13" s="4">
        <f>K13*积分规则3</f>
        <v>0</v>
      </c>
      <c r="M13" s="3">
        <v>0</v>
      </c>
      <c r="N13" s="4">
        <f>M13*积分规则3</f>
        <v>0</v>
      </c>
      <c r="O13" s="3">
        <v>365</v>
      </c>
      <c r="P13" s="4">
        <f>O13*积分规则3</f>
        <v>91.25</v>
      </c>
    </row>
    <row r="14" spans="2:16" ht="16.2" thickBot="1">
      <c r="B14" s="62" t="str">
        <f>"剩余"&amp;抽奖道具</f>
        <v>剩余鱼饵</v>
      </c>
      <c r="C14" s="3">
        <f>C22-C13</f>
        <v>85</v>
      </c>
      <c r="D14" s="4"/>
      <c r="E14" s="3">
        <f>C14+SUM(E4:E12)-E13</f>
        <v>25</v>
      </c>
      <c r="F14" s="4"/>
      <c r="G14" s="3">
        <f>E14+SUM(G4:G12)-G13</f>
        <v>65</v>
      </c>
      <c r="H14" s="4"/>
      <c r="I14" s="3">
        <f>G14+SUM(I4:I12)-I13</f>
        <v>105</v>
      </c>
      <c r="J14" s="4"/>
      <c r="K14" s="3">
        <f>I14+SUM(K4:K12)-K13</f>
        <v>145</v>
      </c>
      <c r="L14" s="4"/>
      <c r="M14" s="3">
        <f>K14+SUM(M4:M12)-M13</f>
        <v>185</v>
      </c>
      <c r="N14" s="4"/>
      <c r="O14" s="3">
        <f>M14+SUM(O4:O12)-O13</f>
        <v>0</v>
      </c>
      <c r="P14" s="4"/>
    </row>
    <row r="15" spans="2:16" ht="16.2" thickTop="1">
      <c r="B15" s="63" t="s">
        <v>33</v>
      </c>
      <c r="C15" s="3">
        <v>0</v>
      </c>
      <c r="D15" s="4">
        <f>C15*随机箱积分</f>
        <v>0</v>
      </c>
      <c r="E15" s="3">
        <v>0</v>
      </c>
      <c r="F15" s="4">
        <f>E15*随机箱积分</f>
        <v>0</v>
      </c>
      <c r="G15" s="3">
        <v>0</v>
      </c>
      <c r="H15" s="4">
        <f>G15*随机箱积分</f>
        <v>0</v>
      </c>
      <c r="I15" s="3">
        <v>0</v>
      </c>
      <c r="J15" s="4">
        <f>I15*随机箱积分</f>
        <v>0</v>
      </c>
      <c r="K15" s="3">
        <v>0</v>
      </c>
      <c r="L15" s="4">
        <f>K15*随机箱积分</f>
        <v>0</v>
      </c>
      <c r="M15" s="3">
        <v>0</v>
      </c>
      <c r="N15" s="4">
        <f>M15*随机箱积分</f>
        <v>0</v>
      </c>
      <c r="O15" s="3">
        <v>13</v>
      </c>
      <c r="P15" s="68">
        <f>O15*随机箱积分</f>
        <v>136.63</v>
      </c>
    </row>
    <row r="16" spans="2:16" ht="16.2" thickBot="1">
      <c r="B16" s="62" t="s">
        <v>34</v>
      </c>
      <c r="C16" s="3">
        <f>C24-SUM(C15)</f>
        <v>1</v>
      </c>
      <c r="D16" s="4"/>
      <c r="E16" s="3">
        <f>E24-SUM(C15,E15)</f>
        <v>7</v>
      </c>
      <c r="F16" s="4"/>
      <c r="G16" s="3">
        <f>G24-SUM(C15,E15,G15)</f>
        <v>7</v>
      </c>
      <c r="H16" s="4"/>
      <c r="I16" s="3">
        <f>I24-SUM(C15,E15,G15,I15)</f>
        <v>7</v>
      </c>
      <c r="J16" s="4"/>
      <c r="K16" s="3">
        <f>K24-SUM(C15,E15,G15,I15,K15)</f>
        <v>7</v>
      </c>
      <c r="L16" s="4"/>
      <c r="M16" s="3">
        <f>M24-SUM(C15,E15,G15,I15,K15,M15)</f>
        <v>7</v>
      </c>
      <c r="N16" s="4"/>
      <c r="O16" s="3">
        <f>O24-SUM(C15,E15,G15,I15,K15,M15,O15)</f>
        <v>0</v>
      </c>
      <c r="P16" s="4"/>
    </row>
    <row r="17" spans="2:16" ht="16.2" thickTop="1">
      <c r="B17" s="64" t="s">
        <v>192</v>
      </c>
      <c r="C17" s="3">
        <v>0</v>
      </c>
      <c r="D17" s="4">
        <f>C17*0</f>
        <v>0</v>
      </c>
      <c r="E17" s="3"/>
      <c r="F17" s="4">
        <f>E17*0</f>
        <v>0</v>
      </c>
      <c r="G17" s="3"/>
      <c r="H17" s="4">
        <f>G17*0</f>
        <v>0</v>
      </c>
      <c r="I17" s="3"/>
      <c r="J17" s="4">
        <f>I17*0</f>
        <v>0</v>
      </c>
      <c r="K17" s="3"/>
      <c r="L17" s="4">
        <f>K17*0</f>
        <v>0</v>
      </c>
      <c r="M17" s="3"/>
      <c r="N17" s="4">
        <f>M17*0</f>
        <v>0</v>
      </c>
      <c r="O17" s="3"/>
      <c r="P17" s="4">
        <f>O17*0</f>
        <v>0</v>
      </c>
    </row>
    <row r="18" spans="2:16">
      <c r="B18" s="15" t="s">
        <v>54</v>
      </c>
      <c r="C18" s="3"/>
      <c r="D18" s="4"/>
      <c r="E18" s="3"/>
      <c r="F18" s="4"/>
      <c r="G18" s="3"/>
      <c r="H18" s="4"/>
      <c r="I18" s="3"/>
      <c r="J18" s="4"/>
      <c r="K18" s="3"/>
      <c r="L18" s="4"/>
      <c r="M18" s="3"/>
      <c r="N18" s="4"/>
      <c r="O18" s="3"/>
      <c r="P18" s="4"/>
    </row>
    <row r="19" spans="2:16" ht="16.2" thickBot="1">
      <c r="B19" s="15" t="s">
        <v>54</v>
      </c>
      <c r="C19" s="3"/>
      <c r="D19" s="4"/>
      <c r="E19" s="3"/>
      <c r="F19" s="4"/>
      <c r="G19" s="3"/>
      <c r="H19" s="4"/>
      <c r="I19" s="3"/>
      <c r="J19" s="4"/>
      <c r="K19" s="3"/>
      <c r="L19" s="4"/>
      <c r="M19" s="3"/>
      <c r="N19" s="4"/>
      <c r="O19" s="3"/>
      <c r="P19" s="4"/>
    </row>
    <row r="20" spans="2:16" ht="16.8" thickTop="1" thickBot="1">
      <c r="B20" s="71" t="s">
        <v>56</v>
      </c>
      <c r="C20" s="72" t="str">
        <f>IFERROR(LOOKUP(D20,档位积分1:档位积分5,第1档:第5档),"无奖励")</f>
        <v>第2档</v>
      </c>
      <c r="D20" s="73">
        <f>SUM(D4:D13)+D15+SUM(D17:D19)</f>
        <v>635</v>
      </c>
      <c r="E20" s="74" t="str">
        <f>IFERROR(LOOKUP(F20,档位积分1:档位积分5,第1档:第5档),"无奖励")</f>
        <v>第3档</v>
      </c>
      <c r="F20" s="73">
        <f>SUM(F4:F13)+F15+SUM(F17:F19)</f>
        <v>1091.25</v>
      </c>
      <c r="G20" s="74" t="str">
        <f>IFERROR(LOOKUP(H20,档位积分1:档位积分5,第1档:第5档),"无奖励")</f>
        <v>无奖励</v>
      </c>
      <c r="H20" s="73">
        <f>SUM(H4:H13)+H15+SUM(H17:H19)</f>
        <v>200</v>
      </c>
      <c r="I20" s="74" t="str">
        <f>IFERROR(LOOKUP(J20,档位积分1:档位积分5,第1档:第5档),"无奖励")</f>
        <v>无奖励</v>
      </c>
      <c r="J20" s="73">
        <f>SUM(J4:J13)+J15+SUM(J17:J19)</f>
        <v>200</v>
      </c>
      <c r="K20" s="74" t="str">
        <f>IFERROR(LOOKUP(L20,档位积分1:档位积分5,第1档:第5档),"无奖励")</f>
        <v>无奖励</v>
      </c>
      <c r="L20" s="73">
        <f>SUM(L4:L13)+L15+SUM(L17:L19)</f>
        <v>200</v>
      </c>
      <c r="M20" s="74" t="str">
        <f>IFERROR(LOOKUP(N20,档位积分1:档位积分5,第1档:第5档),"无奖励")</f>
        <v>无奖励</v>
      </c>
      <c r="N20" s="73">
        <f>SUM(N4:N13)+N15+SUM(N17:N19)</f>
        <v>200</v>
      </c>
      <c r="O20" s="74" t="str">
        <f>IFERROR(LOOKUP(P20,档位积分1:档位积分5,第1档:第5档),"无奖励")</f>
        <v>第3档</v>
      </c>
      <c r="P20" s="73">
        <f>SUM(P4:P13)+P15+SUM(P17:P19)</f>
        <v>1127.8800000000001</v>
      </c>
    </row>
    <row r="21" spans="2:16" ht="16.8" thickTop="1" thickBot="1">
      <c r="B21" s="58" t="s">
        <v>57</v>
      </c>
      <c r="C21" s="56" t="str">
        <f>IF(D20&gt;=MAX(档位积分1:档位积分5), "已是最高档",
   IF(D20&lt;MIN(档位积分1:档位积分5), INDEX(第1档:第5档, 1),
      INDEX(第1档:第5档, MATCH(D20, 档位积分1:档位积分5, 1)+1)))</f>
        <v>第3档</v>
      </c>
      <c r="D21" s="79">
        <f>IF(D20&gt;=MAX(档位积分1:档位积分5), "",
   IF(D20&lt;MIN(档位积分1:档位积分5), MIN(档位积分1:档位积分5),
      INDEX(档位积分1:档位积分5, MATCH(D20, 档位积分1:档位积分5, 1)+1)))</f>
        <v>1060</v>
      </c>
      <c r="E21" s="56" t="str">
        <f>IF(F20&gt;=MAX(档位积分1:档位积分5), "已是最高档",
   IF(F20&lt;MIN(档位积分1:档位积分5), INDEX(第1档:第5档, 1),
      INDEX(第1档:第5档, MATCH(F20, 档位积分1:档位积分5, 1)+1)))</f>
        <v>第4档</v>
      </c>
      <c r="F21" s="79">
        <f>IF(F20&gt;=MAX(档位积分1:档位积分5), "",
   IF(F20&lt;MIN(档位积分1:档位积分5), MIN(档位积分1:档位积分5),
      INDEX(档位积分1:档位积分5, MATCH(F20, 档位积分1:档位积分5, 1)+1)))</f>
        <v>2520</v>
      </c>
      <c r="G21" s="56" t="str">
        <f>IF(H20&gt;=MAX(档位积分1:档位积分5), "已是最高档",
   IF(H20&lt;MIN(档位积分1:档位积分5), INDEX(第1档:第5档, 1),
      INDEX(第1档:第5档, MATCH(H20, 档位积分1:档位积分5, 1)+1)))</f>
        <v>第1档</v>
      </c>
      <c r="H21" s="79">
        <f>IF(H20&gt;=MAX(档位积分1:档位积分5), "",
   IF(H20&lt;MIN(档位积分1:档位积分5), MIN(档位积分1:档位积分5),
      INDEX(档位积分1:档位积分5, MATCH(H20, 档位积分1:档位积分5, 1)+1)))</f>
        <v>210</v>
      </c>
      <c r="I21" s="56" t="str">
        <f>IF(J20&gt;=MAX(档位积分1:档位积分5), "已是最高档",
   IF(J20&lt;MIN(档位积分1:档位积分5), INDEX(第1档:第5档, 1),
      INDEX(第1档:第5档, MATCH(J20, 档位积分1:档位积分5, 1)+1)))</f>
        <v>第1档</v>
      </c>
      <c r="J21" s="79">
        <f>IF(J20&gt;=MAX(档位积分1:档位积分5), "",
   IF(J20&lt;MIN(档位积分1:档位积分5), MIN(档位积分1:档位积分5),
      INDEX(档位积分1:档位积分5, MATCH(J20, 档位积分1:档位积分5, 1)+1)))</f>
        <v>210</v>
      </c>
      <c r="K21" s="56" t="str">
        <f>IF(L20&gt;=MAX(档位积分1:档位积分5), "已是最高档",
   IF(L20&lt;MIN(档位积分1:档位积分5), INDEX(第1档:第5档, 1),
      INDEX(第1档:第5档, MATCH(L20, 档位积分1:档位积分5, 1)+1)))</f>
        <v>第1档</v>
      </c>
      <c r="L21" s="79">
        <f>IF(L20&gt;=MAX(档位积分1:档位积分5), "",
   IF(L20&lt;MIN(档位积分1:档位积分5), MIN(档位积分1:档位积分5),
      INDEX(档位积分1:档位积分5, MATCH(L20, 档位积分1:档位积分5, 1)+1)))</f>
        <v>210</v>
      </c>
      <c r="M21" s="56" t="str">
        <f>IF(N20&gt;=MAX(档位积分1:档位积分5), "已是最高档",
   IF(N20&lt;MIN(档位积分1:档位积分5), INDEX(第1档:第5档, 1),
      INDEX(第1档:第5档, MATCH(N20, 档位积分1:档位积分5, 1)+1)))</f>
        <v>第1档</v>
      </c>
      <c r="N21" s="79">
        <f>IF(N20&gt;=MAX(档位积分1:档位积分5), "",
   IF(N20&lt;MIN(档位积分1:档位积分5), MIN(档位积分1:档位积分5),
      INDEX(档位积分1:档位积分5, MATCH(N20, 档位积分1:档位积分5, 1)+1)))</f>
        <v>210</v>
      </c>
      <c r="O21" s="56" t="str">
        <f>IF(P20&gt;=MAX(档位积分1:档位积分5), "已是最高档",
   IF(P20&lt;MIN(档位积分1:档位积分5), INDEX(第1档:第5档, 1),
      INDEX(第1档:第5档, MATCH(P20, 档位积分1:档位积分5, 1)+1)))</f>
        <v>第4档</v>
      </c>
      <c r="P21" s="79">
        <f>IF(P20&gt;=MAX(档位积分1:档位积分5), "",
   IF(P20&lt;MIN(档位积分1:档位积分5), MIN(档位积分1:档位积分5),
      INDEX(档位积分1:档位积分5, MATCH(P20, 档位积分1:档位积分5, 1)+1)))</f>
        <v>2520</v>
      </c>
    </row>
    <row r="22" spans="2:16" ht="16.2" thickTop="1">
      <c r="B22" s="70" t="str">
        <f>"总"&amp;抽奖道具</f>
        <v>总鱼饵</v>
      </c>
      <c r="C22" s="56">
        <f>SUM(C4:C12)</f>
        <v>125</v>
      </c>
      <c r="D22" s="57">
        <f>C22*积分规则3</f>
        <v>31.25</v>
      </c>
      <c r="E22" s="56">
        <f>C22+SUM(E4:E12)</f>
        <v>330</v>
      </c>
      <c r="F22" s="57">
        <v>0</v>
      </c>
      <c r="G22" s="56">
        <f>E22+SUM(G4:G12)</f>
        <v>370</v>
      </c>
      <c r="H22" s="57">
        <v>0</v>
      </c>
      <c r="I22" s="56">
        <f>G22+SUM(I4:I12)</f>
        <v>410</v>
      </c>
      <c r="J22" s="57">
        <v>0</v>
      </c>
      <c r="K22" s="56">
        <f>I22+SUM(K4:K12)</f>
        <v>450</v>
      </c>
      <c r="L22" s="57">
        <v>0</v>
      </c>
      <c r="M22" s="56">
        <f>K22+SUM(M4:M12)</f>
        <v>490</v>
      </c>
      <c r="N22" s="57">
        <v>0</v>
      </c>
      <c r="O22" s="56">
        <f>M22+SUM(O4:O12)</f>
        <v>670</v>
      </c>
      <c r="P22" s="57">
        <v>0</v>
      </c>
    </row>
    <row r="23" spans="2:16">
      <c r="B23" s="92" t="s">
        <v>196</v>
      </c>
      <c r="C23" s="3">
        <f>C13</f>
        <v>40</v>
      </c>
      <c r="D23" s="4"/>
      <c r="E23" s="3">
        <f>C23+E13</f>
        <v>305</v>
      </c>
      <c r="F23" s="4"/>
      <c r="G23" s="3">
        <f>G13+E23</f>
        <v>305</v>
      </c>
      <c r="H23" s="4"/>
      <c r="I23" s="3">
        <f>I13+G23</f>
        <v>305</v>
      </c>
      <c r="J23" s="4"/>
      <c r="K23" s="3">
        <f>K13+I23</f>
        <v>305</v>
      </c>
      <c r="L23" s="4"/>
      <c r="M23" s="3">
        <f>M13+K23</f>
        <v>305</v>
      </c>
      <c r="N23" s="4"/>
      <c r="O23" s="3">
        <f>O13+M23</f>
        <v>670</v>
      </c>
      <c r="P23" s="4"/>
    </row>
    <row r="24" spans="2:16" ht="16.2" thickBot="1">
      <c r="B24" s="55" t="s">
        <v>55</v>
      </c>
      <c r="C24" s="5">
        <f>IFERROR(LOOKUP(D20,档位积分1:档位积分5,档位奖励1:档位奖励5),0)</f>
        <v>1</v>
      </c>
      <c r="D24" s="13">
        <f>C24*随机箱积分</f>
        <v>10.51</v>
      </c>
      <c r="E24" s="5">
        <f>IFERROR(LOOKUP(F20,档位积分1:档位积分5,档位奖励1:档位奖励5),0)+C24</f>
        <v>7</v>
      </c>
      <c r="F24" s="13">
        <f>E24*随机箱积分</f>
        <v>73.569999999999993</v>
      </c>
      <c r="G24" s="5">
        <f>IFERROR(LOOKUP(H20,档位积分1:档位积分5,档位奖励1:档位奖励5),0)+E24</f>
        <v>7</v>
      </c>
      <c r="H24" s="13">
        <f>G24*随机箱积分</f>
        <v>73.569999999999993</v>
      </c>
      <c r="I24" s="5">
        <f>IFERROR(LOOKUP(J20,档位积分1:档位积分5,档位奖励1:档位奖励5),0)+G24</f>
        <v>7</v>
      </c>
      <c r="J24" s="13">
        <f>I24*随机箱积分</f>
        <v>73.569999999999993</v>
      </c>
      <c r="K24" s="5">
        <f>IFERROR(LOOKUP(L20,档位积分1:档位积分5,档位奖励1:档位奖励5),0)+I24</f>
        <v>7</v>
      </c>
      <c r="L24" s="13">
        <f>K24*随机箱积分</f>
        <v>73.569999999999993</v>
      </c>
      <c r="M24" s="5">
        <f>IFERROR(LOOKUP(N20,档位积分1:档位积分5,档位奖励1:档位奖励5),0)+K24</f>
        <v>7</v>
      </c>
      <c r="N24" s="13">
        <f>M24*随机箱积分</f>
        <v>73.569999999999993</v>
      </c>
      <c r="O24" s="5">
        <f>IFERROR(LOOKUP(P20,档位积分1:档位积分5,档位奖励1:档位奖励5),0)+M24</f>
        <v>13</v>
      </c>
      <c r="P24" s="13">
        <f>O24*随机箱积分</f>
        <v>136.63</v>
      </c>
    </row>
    <row r="25" spans="2:16" ht="16.2" thickTop="1">
      <c r="B25" s="58" t="str">
        <f>普通兑换道具</f>
        <v>钓鱼积分</v>
      </c>
      <c r="C25" s="75">
        <f>IF(C23&lt;=77,C23*97.5,IF(C23&lt;=177,7507.5+(C23-77)*156,IF(C23&lt;=292,23107.5+(C23-177)*234,50017.5+(C23-292)*468)))</f>
        <v>3900</v>
      </c>
      <c r="D25" s="57"/>
      <c r="E25" s="75">
        <f>IF(E23&lt;=77,E23*97.5,IF(E23&lt;=177,7507.5+(E23-77)*156,IF(E23&lt;=292,23107.5+(E23-177)*234,50017.5+(E23-292)*468)))-4000</f>
        <v>52101.5</v>
      </c>
      <c r="F25" s="76"/>
      <c r="G25" s="75">
        <f>IF(G23&lt;=77,G23*97.5,IF(G23&lt;=177,7507.5+(G23-77)*156,IF(G23&lt;=292,23107.5+(G23-177)*234,50017.5+(G23-292)*468)))-4000</f>
        <v>52101.5</v>
      </c>
      <c r="H25" s="76"/>
      <c r="I25" s="75">
        <f>IF(I23&lt;=77,I23*97.5,IF(I23&lt;=177,7507.5+(I23-77)*156,IF(I23&lt;=292,23107.5+(I23-177)*234,50017.5+(I23-292)*468)))-4000</f>
        <v>52101.5</v>
      </c>
      <c r="J25" s="76"/>
      <c r="K25" s="75">
        <f>IF(K23&lt;=77,K23*97.5,IF(K23&lt;=177,7507.5+(K23-77)*156,IF(K23&lt;=292,23107.5+(K23-177)*234,50017.5+(K23-292)*468)))-4000</f>
        <v>52101.5</v>
      </c>
      <c r="L25" s="76"/>
      <c r="M25" s="75">
        <f>IF(M23&lt;=77,M23*97.5,IF(M23&lt;=177,7507.5+(M23-77)*156,IF(M23&lt;=292,23107.5+(M23-177)*234,50017.5+(M23-292)*468)))-4000</f>
        <v>52101.5</v>
      </c>
      <c r="N25" s="76"/>
      <c r="O25" s="75">
        <f>IF(O23&lt;=77,O23*97.5,IF(O23&lt;=177,7507.5+(O23-77)*156,IF(O23&lt;=292,23107.5+(O23-177)*234,50017.5+(O23-292)*468)))-4000-8700-10500</f>
        <v>203721.5</v>
      </c>
      <c r="P25" s="57"/>
    </row>
    <row r="26" spans="2:16" ht="16.2" thickBot="1">
      <c r="B26" s="59" t="str">
        <f>高级兑换道具</f>
        <v>鱼王之证</v>
      </c>
      <c r="C26" s="77">
        <f>C13*高级兑换道具抽奖期望+C15*随机箱高级道具期望</f>
        <v>1</v>
      </c>
      <c r="D26" s="13"/>
      <c r="E26" s="77">
        <f>E13*高级兑换道具抽奖期望+E15*随机箱高级道具期望+C26</f>
        <v>7.625</v>
      </c>
      <c r="F26" s="78"/>
      <c r="G26" s="77">
        <f>G13*高级兑换道具抽奖期望+G15*随机箱高级道具期望+E26</f>
        <v>7.625</v>
      </c>
      <c r="H26" s="78"/>
      <c r="I26" s="77">
        <f>I13*高级兑换道具抽奖期望+I15*随机箱高级道具期望+G26</f>
        <v>7.625</v>
      </c>
      <c r="J26" s="78"/>
      <c r="K26" s="77">
        <f>K13*高级兑换道具抽奖期望+K15*随机箱高级道具期望+I26</f>
        <v>7.625</v>
      </c>
      <c r="L26" s="78"/>
      <c r="M26" s="77">
        <f>M13*高级兑换道具抽奖期望+M15*随机箱高级道具期望+K26</f>
        <v>7.625</v>
      </c>
      <c r="N26" s="78"/>
      <c r="O26" s="105">
        <f>O13*高级兑换道具抽奖期望+O15*随机箱高级道具期望+M26+O17</f>
        <v>30.412999999999997</v>
      </c>
      <c r="P26" s="13"/>
    </row>
    <row r="27" spans="2:16" ht="16.2" thickTop="1">
      <c r="B27" s="190" t="s">
        <v>47</v>
      </c>
      <c r="C27" s="20">
        <v>0</v>
      </c>
      <c r="D27" s="21">
        <v>0</v>
      </c>
      <c r="E27" s="20">
        <v>0</v>
      </c>
      <c r="F27" s="21">
        <v>0</v>
      </c>
      <c r="G27" s="20">
        <v>0</v>
      </c>
      <c r="H27" s="21">
        <v>0</v>
      </c>
      <c r="I27" s="20">
        <v>0</v>
      </c>
      <c r="J27" s="21">
        <v>0</v>
      </c>
      <c r="K27" s="20">
        <v>0</v>
      </c>
      <c r="L27" s="21">
        <v>0</v>
      </c>
      <c r="M27" s="20">
        <v>0</v>
      </c>
      <c r="N27" s="21">
        <v>0</v>
      </c>
      <c r="O27" s="20">
        <v>0</v>
      </c>
      <c r="P27" s="21">
        <v>0</v>
      </c>
    </row>
    <row r="28" spans="2:16">
      <c r="B28" s="191"/>
      <c r="C28" s="65">
        <v>0</v>
      </c>
      <c r="D28" s="26">
        <v>0</v>
      </c>
      <c r="E28" s="65">
        <v>0</v>
      </c>
      <c r="F28" s="26">
        <v>0</v>
      </c>
      <c r="G28" s="65">
        <v>0</v>
      </c>
      <c r="H28" s="26">
        <v>0</v>
      </c>
      <c r="I28" s="65">
        <v>0</v>
      </c>
      <c r="J28" s="26">
        <v>0</v>
      </c>
      <c r="K28" s="65">
        <v>0</v>
      </c>
      <c r="L28" s="26">
        <v>0</v>
      </c>
      <c r="M28" s="65">
        <v>0</v>
      </c>
      <c r="N28" s="26">
        <v>0</v>
      </c>
      <c r="O28" s="65">
        <v>0</v>
      </c>
      <c r="P28" s="26">
        <v>0</v>
      </c>
    </row>
    <row r="29" spans="2:16" ht="16.2" thickBot="1">
      <c r="B29" s="192"/>
      <c r="C29" s="66"/>
      <c r="D29" s="67"/>
      <c r="E29" s="66"/>
      <c r="F29" s="67"/>
      <c r="G29" s="66"/>
      <c r="H29" s="67"/>
      <c r="I29" s="66"/>
      <c r="J29" s="67"/>
      <c r="K29" s="66"/>
      <c r="L29" s="67"/>
      <c r="M29" s="66"/>
      <c r="N29" s="67"/>
      <c r="O29" s="66"/>
      <c r="P29" s="67"/>
    </row>
    <row r="30" spans="2:16" ht="16.2" thickTop="1">
      <c r="B30" s="191" t="s">
        <v>48</v>
      </c>
      <c r="C30" s="20">
        <f>IFERROR(LOOKUP(C27,价格6:价格648,翡翠100:翡翠10000),0)</f>
        <v>0</v>
      </c>
      <c r="D30" s="21">
        <f>IFERROR(LOOKUP(D27,价格6:价格648,翡翠100:翡翠10000),0)</f>
        <v>0</v>
      </c>
      <c r="E30" s="20">
        <f>IFERROR(LOOKUP(E27,价格6:价格648,翡翠100:翡翠10000),0)</f>
        <v>0</v>
      </c>
      <c r="F30" s="21">
        <f>IFERROR(LOOKUP(F27,价格6:价格648,翡翠100:翡翠10000),0)</f>
        <v>0</v>
      </c>
      <c r="G30" s="20">
        <f>IFERROR(LOOKUP(G27,价格6:价格648,翡翠100:翡翠10000),0)</f>
        <v>0</v>
      </c>
      <c r="H30" s="21">
        <f>IFERROR(LOOKUP(H27,价格6:价格648,翡翠100:翡翠10000),0)</f>
        <v>0</v>
      </c>
      <c r="I30" s="20">
        <f>IFERROR(LOOKUP(I27,价格6:价格648,翡翠100:翡翠10000),0)</f>
        <v>0</v>
      </c>
      <c r="J30" s="21">
        <f>IFERROR(LOOKUP(J27,价格6:价格648,翡翠100:翡翠10000),0)</f>
        <v>0</v>
      </c>
      <c r="K30" s="20">
        <f>IFERROR(LOOKUP(K27,价格6:价格648,翡翠100:翡翠10000),0)</f>
        <v>0</v>
      </c>
      <c r="L30" s="21">
        <f>IFERROR(LOOKUP(L27,价格6:价格648,翡翠100:翡翠10000),0)</f>
        <v>0</v>
      </c>
      <c r="M30" s="20">
        <f>IFERROR(LOOKUP(M27,价格6:价格648,翡翠100:翡翠10000),0)</f>
        <v>0</v>
      </c>
      <c r="N30" s="21">
        <f>IFERROR(LOOKUP(N27,价格6:价格648,翡翠100:翡翠10000),0)</f>
        <v>0</v>
      </c>
      <c r="O30" s="20">
        <f>IFERROR(LOOKUP(O27,价格6:价格648,翡翠100:翡翠10000),0)</f>
        <v>0</v>
      </c>
      <c r="P30" s="21">
        <f>IFERROR(LOOKUP(P27,价格6:价格648,翡翠100:翡翠10000),0)</f>
        <v>0</v>
      </c>
    </row>
    <row r="31" spans="2:16">
      <c r="B31" s="191"/>
      <c r="C31" s="65">
        <f>IFERROR(LOOKUP(C28,价格6:价格648,翡翠100:翡翠10000),0)</f>
        <v>0</v>
      </c>
      <c r="D31" s="26">
        <f>IFERROR(LOOKUP(D28,价格6:价格648,翡翠100:翡翠10000),0)</f>
        <v>0</v>
      </c>
      <c r="E31" s="65">
        <f>IFERROR(LOOKUP(E28,价格6:价格648,翡翠100:翡翠10000),0)</f>
        <v>0</v>
      </c>
      <c r="F31" s="26">
        <f>IFERROR(LOOKUP(F28,价格6:价格648,翡翠100:翡翠10000),0)</f>
        <v>0</v>
      </c>
      <c r="G31" s="65">
        <f>IFERROR(LOOKUP(G28,价格6:价格648,翡翠100:翡翠10000),0)</f>
        <v>0</v>
      </c>
      <c r="H31" s="26">
        <f>IFERROR(LOOKUP(H28,价格6:价格648,翡翠100:翡翠10000),0)</f>
        <v>0</v>
      </c>
      <c r="I31" s="65">
        <f>IFERROR(LOOKUP(I28,价格6:价格648,翡翠100:翡翠10000),0)</f>
        <v>0</v>
      </c>
      <c r="J31" s="26">
        <f>IFERROR(LOOKUP(J28,价格6:价格648,翡翠100:翡翠10000),0)</f>
        <v>0</v>
      </c>
      <c r="K31" s="65">
        <f>IFERROR(LOOKUP(K28,价格6:价格648,翡翠100:翡翠10000),0)</f>
        <v>0</v>
      </c>
      <c r="L31" s="26">
        <f>IFERROR(LOOKUP(L28,价格6:价格648,翡翠100:翡翠10000),0)</f>
        <v>0</v>
      </c>
      <c r="M31" s="65">
        <f>IFERROR(LOOKUP(M28,价格6:价格648,翡翠100:翡翠10000),0)</f>
        <v>0</v>
      </c>
      <c r="N31" s="26">
        <f>IFERROR(LOOKUP(N28,价格6:价格648,翡翠100:翡翠10000),0)</f>
        <v>0</v>
      </c>
      <c r="O31" s="65">
        <f>IFERROR(LOOKUP(O28,价格6:价格648,翡翠100:翡翠10000),0)</f>
        <v>0</v>
      </c>
      <c r="P31" s="26">
        <v>0</v>
      </c>
    </row>
    <row r="32" spans="2:16" ht="16.2" thickBot="1">
      <c r="B32" s="192"/>
      <c r="C32" s="66"/>
      <c r="D32" s="67"/>
      <c r="E32" s="66"/>
      <c r="F32" s="67"/>
      <c r="G32" s="66"/>
      <c r="H32" s="67"/>
      <c r="I32" s="66"/>
      <c r="J32" s="67"/>
      <c r="K32" s="66"/>
      <c r="L32" s="67"/>
      <c r="M32" s="66"/>
      <c r="N32" s="67"/>
      <c r="O32" s="66"/>
      <c r="P32" s="67"/>
    </row>
    <row r="33" spans="2:19" ht="24.6" customHeight="1" thickTop="1">
      <c r="B33" s="191" t="s">
        <v>46</v>
      </c>
      <c r="C33" s="193" t="str">
        <f>SUM(C6,E6,G6,I6,K6,M6,O6)*钻石购买 &amp;"钻石"</f>
        <v>16000钻石</v>
      </c>
      <c r="D33" s="194"/>
      <c r="E33" s="194"/>
      <c r="F33" s="194"/>
      <c r="G33" s="194"/>
      <c r="H33" s="194"/>
      <c r="I33" s="199" t="str">
        <f>SUM(C27:P29) &amp;"元"</f>
        <v>0元</v>
      </c>
      <c r="J33" s="199"/>
      <c r="K33" s="199"/>
      <c r="L33" s="199"/>
      <c r="M33" s="200" t="str">
        <f>SUM(C30:P32) &amp; "翡翠"</f>
        <v>0翡翠</v>
      </c>
      <c r="N33" s="200"/>
      <c r="O33" s="200"/>
      <c r="P33" s="201"/>
    </row>
    <row r="34" spans="2:19" ht="22.8" thickBot="1">
      <c r="B34" s="192"/>
      <c r="C34" s="196" t="str">
        <f>"最终收益："&amp;ROUNDDOWN(O26,0)&amp;B26&amp;"+"&amp;ROUNDDOWN(O25,0)&amp;B25</f>
        <v>最终收益：30鱼王之证+203721钓鱼积分</v>
      </c>
      <c r="D34" s="197"/>
      <c r="E34" s="197"/>
      <c r="F34" s="197"/>
      <c r="G34" s="197"/>
      <c r="H34" s="197"/>
      <c r="I34" s="197"/>
      <c r="J34" s="197"/>
      <c r="K34" s="197"/>
      <c r="L34" s="197"/>
      <c r="M34" s="197"/>
      <c r="N34" s="197"/>
      <c r="O34" s="197"/>
      <c r="P34" s="198"/>
    </row>
    <row r="35" spans="2:19" ht="16.2" thickTop="1"/>
    <row r="39" spans="2:19" ht="38.4" customHeight="1"/>
    <row r="40" spans="2:19" ht="17.7" customHeight="1">
      <c r="B40" s="27"/>
      <c r="C40" s="27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</row>
    <row r="41" spans="2:19" ht="17.7" customHeight="1">
      <c r="B41" s="27"/>
      <c r="C41" s="6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</row>
    <row r="42" spans="2:19" ht="17.7" customHeight="1">
      <c r="B42" s="27"/>
      <c r="C42" s="49"/>
      <c r="D42" s="50"/>
      <c r="E42" s="50"/>
      <c r="F42" s="50"/>
      <c r="G42" s="50"/>
      <c r="H42" s="50"/>
      <c r="I42" s="50"/>
      <c r="J42" s="50"/>
      <c r="K42" s="10"/>
      <c r="L42" s="10"/>
      <c r="M42" s="10"/>
      <c r="N42" s="10"/>
      <c r="O42" s="10"/>
      <c r="P42" s="10"/>
    </row>
    <row r="43" spans="2:19" ht="17.7" customHeight="1"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</row>
    <row r="44" spans="2:19">
      <c r="F44" s="195"/>
      <c r="G44" s="195"/>
      <c r="H44" s="195"/>
      <c r="I44" s="195"/>
      <c r="K44" s="188"/>
      <c r="L44" s="188"/>
      <c r="M44" s="188"/>
      <c r="N44" s="188"/>
      <c r="P44" s="188"/>
      <c r="Q44" s="188"/>
      <c r="R44" s="188"/>
      <c r="S44" s="188"/>
    </row>
    <row r="45" spans="2:19">
      <c r="K45" s="6"/>
      <c r="L45" s="6"/>
      <c r="M45" s="6"/>
      <c r="N45" s="6"/>
      <c r="P45" s="6"/>
      <c r="R45" s="6"/>
      <c r="S45" s="6"/>
    </row>
    <row r="46" spans="2:19">
      <c r="K46" s="6"/>
      <c r="L46" s="6"/>
      <c r="M46" s="6"/>
      <c r="N46" s="6"/>
      <c r="P46" s="6"/>
      <c r="R46" s="6"/>
      <c r="S46" s="6"/>
    </row>
    <row r="47" spans="2:19">
      <c r="K47" s="6"/>
      <c r="L47" s="6"/>
      <c r="M47" s="6"/>
      <c r="N47" s="6"/>
      <c r="P47" s="6"/>
      <c r="R47" s="6"/>
      <c r="S47" s="6"/>
    </row>
    <row r="48" spans="2:19">
      <c r="K48" s="6"/>
      <c r="L48" s="6"/>
      <c r="M48" s="6"/>
      <c r="N48" s="6"/>
      <c r="P48" s="25"/>
      <c r="R48" s="25"/>
      <c r="S48" s="6"/>
    </row>
    <row r="49" spans="2:16">
      <c r="G49" s="28"/>
      <c r="H49" s="28"/>
      <c r="I49" s="28"/>
      <c r="K49" s="6"/>
      <c r="M49" s="6"/>
      <c r="N49" s="6"/>
      <c r="O49" s="6"/>
      <c r="P49" s="6"/>
    </row>
    <row r="50" spans="2:16">
      <c r="F50" s="6"/>
      <c r="G50" s="6"/>
      <c r="H50" s="6"/>
      <c r="K50" s="6"/>
      <c r="M50" s="6"/>
      <c r="N50" s="6"/>
      <c r="O50" s="6"/>
      <c r="P50" s="6"/>
    </row>
    <row r="51" spans="2:16">
      <c r="B51" s="189"/>
      <c r="C51" s="189"/>
      <c r="D51" s="189"/>
      <c r="K51" s="188"/>
      <c r="L51" s="188"/>
      <c r="M51" s="188"/>
      <c r="N51" s="188"/>
    </row>
    <row r="52" spans="2:16">
      <c r="K52" s="6"/>
      <c r="M52" s="6"/>
      <c r="N52" s="6"/>
      <c r="P52" s="25"/>
    </row>
    <row r="53" spans="2:16">
      <c r="K53" s="6"/>
      <c r="M53" s="6"/>
      <c r="N53" s="6"/>
      <c r="P53" s="25"/>
    </row>
    <row r="54" spans="2:16">
      <c r="K54" s="6"/>
      <c r="M54" s="6"/>
      <c r="N54" s="6"/>
      <c r="P54" s="25"/>
    </row>
    <row r="55" spans="2:16">
      <c r="B55" s="189"/>
      <c r="C55" s="189"/>
      <c r="D55" s="189"/>
      <c r="K55" s="6"/>
      <c r="M55" s="6"/>
      <c r="N55" s="6"/>
      <c r="P55" s="25"/>
    </row>
    <row r="56" spans="2:16">
      <c r="K56" s="6"/>
      <c r="M56" s="6"/>
      <c r="N56" s="6"/>
      <c r="P56" s="25"/>
    </row>
    <row r="57" spans="2:16">
      <c r="K57" s="6"/>
      <c r="M57" s="6"/>
      <c r="N57" s="6"/>
      <c r="P57" s="25"/>
    </row>
    <row r="58" spans="2:16">
      <c r="K58" s="6"/>
      <c r="M58" s="6"/>
      <c r="N58" s="6"/>
      <c r="P58" s="25"/>
    </row>
    <row r="59" spans="2:16">
      <c r="K59" s="6"/>
      <c r="M59" s="6"/>
      <c r="N59" s="6"/>
      <c r="P59" s="25"/>
    </row>
    <row r="60" spans="2:16">
      <c r="P60" s="25"/>
    </row>
    <row r="61" spans="2:16">
      <c r="P61" s="25"/>
    </row>
    <row r="62" spans="2:16">
      <c r="P62" s="25"/>
    </row>
    <row r="63" spans="2:16">
      <c r="P63" s="25"/>
    </row>
    <row r="64" spans="2:16">
      <c r="P64" s="25"/>
    </row>
    <row r="65" spans="16:16">
      <c r="P65" s="25"/>
    </row>
    <row r="66" spans="16:16">
      <c r="P66" s="25"/>
    </row>
    <row r="67" spans="16:16">
      <c r="P67" s="25"/>
    </row>
    <row r="68" spans="16:16">
      <c r="P68" s="25"/>
    </row>
    <row r="69" spans="16:16">
      <c r="P69" s="25"/>
    </row>
    <row r="70" spans="16:16">
      <c r="P70" s="25"/>
    </row>
    <row r="71" spans="16:16">
      <c r="P71" s="25"/>
    </row>
    <row r="72" spans="16:16">
      <c r="P72" s="25"/>
    </row>
    <row r="73" spans="16:16">
      <c r="P73" s="25"/>
    </row>
    <row r="74" spans="16:16">
      <c r="P74" s="25"/>
    </row>
    <row r="75" spans="16:16">
      <c r="P75" s="25"/>
    </row>
  </sheetData>
  <mergeCells count="20">
    <mergeCell ref="O2:P2"/>
    <mergeCell ref="B27:B29"/>
    <mergeCell ref="B30:B32"/>
    <mergeCell ref="B33:B34"/>
    <mergeCell ref="C33:H33"/>
    <mergeCell ref="I33:L33"/>
    <mergeCell ref="M33:P33"/>
    <mergeCell ref="C34:P34"/>
    <mergeCell ref="C2:D2"/>
    <mergeCell ref="E2:F2"/>
    <mergeCell ref="G2:H2"/>
    <mergeCell ref="I2:J2"/>
    <mergeCell ref="K2:L2"/>
    <mergeCell ref="M2:N2"/>
    <mergeCell ref="K44:N44"/>
    <mergeCell ref="P44:S44"/>
    <mergeCell ref="B51:D51"/>
    <mergeCell ref="K51:N51"/>
    <mergeCell ref="B55:D55"/>
    <mergeCell ref="F44:I44"/>
  </mergeCells>
  <phoneticPr fontId="20" type="noConversion"/>
  <conditionalFormatting sqref="B6:P6">
    <cfRule type="cellIs" dxfId="13" priority="4" operator="greaterThan">
      <formula>0</formula>
    </cfRule>
  </conditionalFormatting>
  <conditionalFormatting sqref="B10:P10">
    <cfRule type="cellIs" dxfId="12" priority="1" operator="greaterThan">
      <formula>0</formula>
    </cfRule>
  </conditionalFormatting>
  <conditionalFormatting sqref="B11:P12">
    <cfRule type="cellIs" dxfId="11" priority="3" operator="greaterThan">
      <formula>0</formula>
    </cfRule>
  </conditionalFormatting>
  <conditionalFormatting sqref="C7:P7">
    <cfRule type="cellIs" dxfId="10" priority="2" operator="greaterThan">
      <formula>0</formula>
    </cfRule>
  </conditionalFormatting>
  <conditionalFormatting sqref="C13:P13">
    <cfRule type="cellIs" dxfId="9" priority="7" operator="greaterThan">
      <formula>0</formula>
    </cfRule>
  </conditionalFormatting>
  <conditionalFormatting sqref="C15:P15">
    <cfRule type="cellIs" dxfId="8" priority="5" operator="greaterThan">
      <formula>0</formula>
    </cfRule>
  </conditionalFormatting>
  <conditionalFormatting sqref="C17:P17">
    <cfRule type="cellIs" dxfId="7" priority="6" operator="greaterThan">
      <formula>0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9F70E-6BEA-4D19-AD1F-0A0D26BB3607}">
  <dimension ref="A1:U30"/>
  <sheetViews>
    <sheetView topLeftCell="A4" workbookViewId="0">
      <selection activeCell="J9" sqref="J9:J15"/>
    </sheetView>
  </sheetViews>
  <sheetFormatPr defaultRowHeight="15.6"/>
  <cols>
    <col min="1" max="1" width="9.33203125" style="33" customWidth="1"/>
    <col min="2" max="2" width="8.88671875" style="33" customWidth="1"/>
    <col min="3" max="3" width="53.109375" style="33" customWidth="1"/>
    <col min="4" max="4" width="9.109375" style="33" bestFit="1" customWidth="1"/>
    <col min="5" max="7" width="11.109375" style="33" bestFit="1" customWidth="1"/>
    <col min="8" max="9" width="15.77734375" style="33" customWidth="1"/>
    <col min="10" max="10" width="8.88671875" style="33"/>
    <col min="11" max="11" width="17.44140625" style="33" customWidth="1"/>
    <col min="12" max="12" width="16.77734375" style="33" customWidth="1"/>
    <col min="13" max="13" width="14.109375" style="33" customWidth="1"/>
    <col min="14" max="14" width="8.88671875" style="33"/>
    <col min="15" max="15" width="17.44140625" style="33" customWidth="1"/>
    <col min="16" max="16384" width="8.88671875" style="33"/>
  </cols>
  <sheetData>
    <row r="1" spans="1:21" ht="16.2" thickBot="1"/>
    <row r="2" spans="1:21" ht="24" customHeight="1" thickTop="1" thickBot="1">
      <c r="B2" s="122" t="s">
        <v>226</v>
      </c>
      <c r="C2" s="123"/>
      <c r="D2" s="123"/>
      <c r="E2" s="123"/>
      <c r="F2" s="123"/>
      <c r="G2" s="123"/>
      <c r="H2" s="123"/>
      <c r="I2" s="124"/>
      <c r="R2" s="51"/>
    </row>
    <row r="3" spans="1:21" ht="17.55" customHeight="1" thickTop="1">
      <c r="B3" s="127" t="s">
        <v>45</v>
      </c>
      <c r="C3" s="128"/>
      <c r="D3" s="127" t="str">
        <f>"期望"&amp;普通兑换道具</f>
        <v>期望钓鱼积分</v>
      </c>
      <c r="E3" s="131"/>
      <c r="F3" s="128"/>
      <c r="G3" s="131" t="str">
        <f>"期望"&amp;高级兑换道具</f>
        <v>期望鱼王之证</v>
      </c>
      <c r="H3" s="131"/>
      <c r="I3" s="128"/>
      <c r="R3" s="51"/>
    </row>
    <row r="4" spans="1:21" ht="12.6" customHeight="1">
      <c r="B4" s="129"/>
      <c r="C4" s="130"/>
      <c r="D4" s="129"/>
      <c r="E4" s="132"/>
      <c r="F4" s="130"/>
      <c r="G4" s="132"/>
      <c r="H4" s="132"/>
      <c r="I4" s="130"/>
      <c r="R4" s="51"/>
      <c r="T4" s="52"/>
      <c r="U4" s="52"/>
    </row>
    <row r="5" spans="1:21" ht="20.85" customHeight="1" thickBot="1">
      <c r="B5" s="125" t="str">
        <f>垂钓盛典1.6w钻!C33</f>
        <v>16000钻石</v>
      </c>
      <c r="C5" s="126"/>
      <c r="D5" s="135">
        <f>垂钓盛典1.6w钻!O25</f>
        <v>203721.5</v>
      </c>
      <c r="E5" s="136"/>
      <c r="F5" s="137"/>
      <c r="G5" s="133">
        <f>垂钓盛典1.6w钻!O26</f>
        <v>30.412999999999997</v>
      </c>
      <c r="H5" s="133"/>
      <c r="I5" s="134"/>
      <c r="R5" s="51"/>
      <c r="T5" s="52"/>
      <c r="U5" s="52"/>
    </row>
    <row r="6" spans="1:21" ht="17.55" customHeight="1" thickTop="1">
      <c r="B6" s="116" t="s">
        <v>221</v>
      </c>
      <c r="C6" s="117"/>
      <c r="D6" s="117"/>
      <c r="E6" s="117"/>
      <c r="F6" s="117"/>
      <c r="G6" s="117"/>
      <c r="H6" s="117"/>
      <c r="I6" s="118"/>
      <c r="R6" s="51"/>
    </row>
    <row r="7" spans="1:21" ht="17.55" customHeight="1" thickBot="1">
      <c r="B7" s="119"/>
      <c r="C7" s="120"/>
      <c r="D7" s="120"/>
      <c r="E7" s="120"/>
      <c r="F7" s="120"/>
      <c r="G7" s="120"/>
      <c r="H7" s="120"/>
      <c r="I7" s="121"/>
      <c r="R7" s="51"/>
    </row>
    <row r="8" spans="1:21" ht="32.4" customHeight="1" thickTop="1">
      <c r="A8" s="43" t="s">
        <v>239</v>
      </c>
      <c r="B8" s="42" t="s">
        <v>35</v>
      </c>
      <c r="C8" s="43" t="s">
        <v>44</v>
      </c>
      <c r="D8" s="43" t="str">
        <f>垂钓盛典1.6w钻!B20</f>
        <v>目标档位</v>
      </c>
      <c r="E8" s="43" t="str">
        <f>垂钓盛典1.6w钻!B13</f>
        <v>使用鱼饵</v>
      </c>
      <c r="F8" s="43" t="str">
        <f>垂钓盛典1.6w钻!B14</f>
        <v>剩余鱼饵</v>
      </c>
      <c r="G8" s="43" t="str">
        <f>垂钓盛典1.6w钻!B16</f>
        <v>剩余随机箱</v>
      </c>
      <c r="H8" s="43" t="str">
        <f>"期望"&amp;普通兑换道具</f>
        <v>期望钓鱼积分</v>
      </c>
      <c r="I8" s="44" t="str">
        <f>"期望"&amp;高级兑换道具</f>
        <v>期望鱼王之证</v>
      </c>
      <c r="J8" s="44" t="s">
        <v>238</v>
      </c>
      <c r="R8" s="51"/>
    </row>
    <row r="9" spans="1:21" ht="36">
      <c r="B9" s="40" t="s">
        <v>36</v>
      </c>
      <c r="C9" s="36" t="s">
        <v>206</v>
      </c>
      <c r="D9" s="36" t="str">
        <f>垂钓盛典1.6w钻!C20</f>
        <v>第2档</v>
      </c>
      <c r="E9" s="36">
        <f>垂钓盛典1.6w钻!C13</f>
        <v>40</v>
      </c>
      <c r="F9" s="36">
        <f>垂钓盛典1.6w钻!C14</f>
        <v>85</v>
      </c>
      <c r="G9" s="36">
        <f>垂钓盛典1.6w钻!C16</f>
        <v>1</v>
      </c>
      <c r="H9" s="37">
        <f>垂钓盛典1.6w钻!C25</f>
        <v>3900</v>
      </c>
      <c r="I9" s="41">
        <f>垂钓盛典1.6w钻!C26</f>
        <v>1</v>
      </c>
      <c r="J9" s="83">
        <f>垂钓盛典1.6w钻!D20</f>
        <v>635</v>
      </c>
      <c r="R9" s="51"/>
    </row>
    <row r="10" spans="1:21" ht="52.8">
      <c r="A10" s="33" t="s">
        <v>208</v>
      </c>
      <c r="B10" s="38" t="s">
        <v>37</v>
      </c>
      <c r="C10" s="34" t="s">
        <v>222</v>
      </c>
      <c r="D10" s="34" t="str">
        <f>垂钓盛典1.6w钻!E20</f>
        <v>第3档</v>
      </c>
      <c r="E10" s="34">
        <f>垂钓盛典1.6w钻!E13</f>
        <v>265</v>
      </c>
      <c r="F10" s="34">
        <f>垂钓盛典1.6w钻!E14</f>
        <v>25</v>
      </c>
      <c r="G10" s="34">
        <f>垂钓盛典1.6w钻!E16</f>
        <v>7</v>
      </c>
      <c r="H10" s="35">
        <f>垂钓盛典1.6w钻!E25</f>
        <v>52101.5</v>
      </c>
      <c r="I10" s="39">
        <f>垂钓盛典1.6w钻!E26</f>
        <v>7.625</v>
      </c>
      <c r="J10" s="83">
        <f>垂钓盛典1.6w钻!F20</f>
        <v>1091.25</v>
      </c>
      <c r="R10" s="51"/>
    </row>
    <row r="11" spans="1:21" ht="28.2">
      <c r="B11" s="38" t="s">
        <v>38</v>
      </c>
      <c r="C11" s="34" t="s">
        <v>225</v>
      </c>
      <c r="D11" s="34" t="str">
        <f>垂钓盛典1.6w钻!G20</f>
        <v>无奖励</v>
      </c>
      <c r="E11" s="35">
        <f>垂钓盛典1.6w钻!G13</f>
        <v>0</v>
      </c>
      <c r="F11" s="35">
        <f>垂钓盛典1.6w钻!G14</f>
        <v>65</v>
      </c>
      <c r="G11" s="35">
        <f>垂钓盛典1.6w钻!G16</f>
        <v>7</v>
      </c>
      <c r="H11" s="35">
        <f>垂钓盛典1.6w钻!G25</f>
        <v>52101.5</v>
      </c>
      <c r="I11" s="39">
        <f>垂钓盛典1.6w钻!G26</f>
        <v>7.625</v>
      </c>
      <c r="J11" s="83">
        <f>垂钓盛典1.6w钻!H20</f>
        <v>200</v>
      </c>
      <c r="R11" s="51"/>
    </row>
    <row r="12" spans="1:21" ht="28.2">
      <c r="B12" s="38" t="s">
        <v>39</v>
      </c>
      <c r="C12" s="34" t="s">
        <v>225</v>
      </c>
      <c r="D12" s="34" t="str">
        <f>垂钓盛典1.6w钻!I20</f>
        <v>无奖励</v>
      </c>
      <c r="E12" s="35">
        <f>垂钓盛典1.6w钻!I13</f>
        <v>0</v>
      </c>
      <c r="F12" s="35">
        <f>垂钓盛典1.6w钻!I14</f>
        <v>105</v>
      </c>
      <c r="G12" s="35">
        <f>垂钓盛典1.6w钻!I16</f>
        <v>7</v>
      </c>
      <c r="H12" s="35">
        <f>垂钓盛典1.6w钻!I25</f>
        <v>52101.5</v>
      </c>
      <c r="I12" s="39">
        <f>垂钓盛典1.6w钻!I26</f>
        <v>7.625</v>
      </c>
      <c r="J12" s="83">
        <f>垂钓盛典1.6w钻!J20</f>
        <v>200</v>
      </c>
      <c r="R12" s="51"/>
    </row>
    <row r="13" spans="1:21" ht="28.2">
      <c r="B13" s="38" t="s">
        <v>40</v>
      </c>
      <c r="C13" s="34" t="s">
        <v>225</v>
      </c>
      <c r="D13" s="34" t="str">
        <f>垂钓盛典1.6w钻!K20</f>
        <v>无奖励</v>
      </c>
      <c r="E13" s="34">
        <f>垂钓盛典1.6w钻!K13</f>
        <v>0</v>
      </c>
      <c r="F13" s="34">
        <f>垂钓盛典1.6w钻!K14</f>
        <v>145</v>
      </c>
      <c r="G13" s="34">
        <f>垂钓盛典1.6w钻!K16</f>
        <v>7</v>
      </c>
      <c r="H13" s="35">
        <f>垂钓盛典1.6w钻!K25</f>
        <v>52101.5</v>
      </c>
      <c r="I13" s="39">
        <f>垂钓盛典1.6w钻!K26</f>
        <v>7.625</v>
      </c>
      <c r="J13" s="83">
        <f>垂钓盛典1.6w钻!L20</f>
        <v>200</v>
      </c>
      <c r="R13" s="51"/>
    </row>
    <row r="14" spans="1:21" ht="28.2">
      <c r="B14" s="38" t="s">
        <v>41</v>
      </c>
      <c r="C14" s="34" t="s">
        <v>225</v>
      </c>
      <c r="D14" s="34" t="str">
        <f>垂钓盛典1.6w钻!M20</f>
        <v>无奖励</v>
      </c>
      <c r="E14" s="34">
        <f>垂钓盛典1.6w钻!M13</f>
        <v>0</v>
      </c>
      <c r="F14" s="34">
        <f>垂钓盛典1.6w钻!M14</f>
        <v>185</v>
      </c>
      <c r="G14" s="34">
        <f>垂钓盛典1.6w钻!M16</f>
        <v>7</v>
      </c>
      <c r="H14" s="35">
        <f>垂钓盛典1.6w钻!M25</f>
        <v>52101.5</v>
      </c>
      <c r="I14" s="39">
        <f>垂钓盛典1.6w钻!M26</f>
        <v>7.625</v>
      </c>
      <c r="J14" s="83">
        <f>垂钓盛典1.6w钻!N20</f>
        <v>200</v>
      </c>
      <c r="R14" s="51"/>
    </row>
    <row r="15" spans="1:21" ht="36.6" thickBot="1">
      <c r="A15" s="33" t="s">
        <v>208</v>
      </c>
      <c r="B15" s="45" t="s">
        <v>42</v>
      </c>
      <c r="C15" s="47" t="s">
        <v>223</v>
      </c>
      <c r="D15" s="47" t="str">
        <f>垂钓盛典1.6w钻!O20</f>
        <v>第3档</v>
      </c>
      <c r="E15" s="46">
        <f>垂钓盛典1.6w钻!O13</f>
        <v>365</v>
      </c>
      <c r="F15" s="46">
        <f>垂钓盛典1.6w钻!O14</f>
        <v>0</v>
      </c>
      <c r="G15" s="46">
        <f>垂钓盛典1.6w钻!O16</f>
        <v>0</v>
      </c>
      <c r="H15" s="47">
        <f>垂钓盛典1.6w钻!O25</f>
        <v>203721.5</v>
      </c>
      <c r="I15" s="48">
        <f>垂钓盛典1.6w钻!O26</f>
        <v>30.412999999999997</v>
      </c>
      <c r="J15" s="83">
        <f>垂钓盛典1.6w钻!P20</f>
        <v>1127.8800000000001</v>
      </c>
      <c r="R15" s="51"/>
    </row>
    <row r="16" spans="1:21" ht="21" customHeight="1" thickTop="1" thickBot="1">
      <c r="B16" s="88"/>
      <c r="C16" s="89"/>
      <c r="D16" s="90"/>
      <c r="E16" s="89"/>
      <c r="F16" s="89"/>
      <c r="G16" s="89"/>
      <c r="H16" s="90"/>
      <c r="I16" s="91"/>
      <c r="R16" s="51"/>
    </row>
    <row r="17" spans="2:18" ht="18.45" customHeight="1" thickTop="1">
      <c r="B17" s="110" t="s">
        <v>43</v>
      </c>
      <c r="C17" s="111"/>
      <c r="D17" s="111"/>
      <c r="E17" s="111"/>
      <c r="F17" s="111"/>
      <c r="G17" s="111"/>
      <c r="H17" s="111"/>
      <c r="I17" s="112"/>
      <c r="R17" s="51"/>
    </row>
    <row r="18" spans="2:18" ht="66" customHeight="1" thickBot="1">
      <c r="B18" s="113" t="s">
        <v>224</v>
      </c>
      <c r="C18" s="114"/>
      <c r="D18" s="114"/>
      <c r="E18" s="114"/>
      <c r="F18" s="114"/>
      <c r="G18" s="114"/>
      <c r="H18" s="114"/>
      <c r="I18" s="115"/>
      <c r="R18" s="51"/>
    </row>
    <row r="19" spans="2:18" ht="34.5" customHeight="1" thickTop="1">
      <c r="B19" s="53" t="s">
        <v>88</v>
      </c>
      <c r="C19" s="53"/>
      <c r="D19" s="53"/>
      <c r="E19" s="53"/>
      <c r="F19" s="53"/>
      <c r="G19" s="53"/>
      <c r="H19" s="53"/>
      <c r="I19" s="53"/>
      <c r="R19" s="51"/>
    </row>
    <row r="20" spans="2:18" ht="12.9" customHeight="1">
      <c r="B20" s="53"/>
      <c r="C20" s="53"/>
      <c r="D20" s="53"/>
      <c r="E20" s="53"/>
      <c r="F20" s="53"/>
      <c r="G20" s="53"/>
      <c r="H20" s="53"/>
      <c r="I20" s="53"/>
      <c r="R20" s="51"/>
    </row>
    <row r="21" spans="2:18" ht="15.6" customHeight="1">
      <c r="R21" s="51"/>
    </row>
    <row r="22" spans="2:18" ht="16.2" customHeight="1">
      <c r="B22" s="54"/>
      <c r="C22" s="54"/>
      <c r="D22" s="54"/>
      <c r="E22" s="54"/>
      <c r="F22" s="54"/>
      <c r="G22" s="54"/>
      <c r="H22" s="54"/>
      <c r="I22" s="54"/>
      <c r="R22" s="51"/>
    </row>
    <row r="23" spans="2:18" ht="15.3" customHeight="1">
      <c r="B23" s="54"/>
      <c r="C23" s="54"/>
      <c r="D23" s="54"/>
      <c r="E23" s="54"/>
      <c r="F23" s="54"/>
      <c r="G23" s="54"/>
      <c r="H23" s="54"/>
      <c r="I23" s="54"/>
      <c r="R23" s="51"/>
    </row>
    <row r="24" spans="2:18" ht="22.95" customHeight="1">
      <c r="B24" s="54"/>
      <c r="C24" s="54"/>
      <c r="D24" s="54"/>
      <c r="E24" s="54"/>
      <c r="F24" s="54"/>
      <c r="G24" s="54"/>
      <c r="H24" s="54"/>
      <c r="I24" s="54"/>
      <c r="R24" s="51"/>
    </row>
    <row r="25" spans="2:18" ht="22.95" customHeight="1">
      <c r="N25" s="51"/>
      <c r="O25" s="51"/>
      <c r="P25" s="51"/>
      <c r="Q25" s="51"/>
      <c r="R25" s="51"/>
    </row>
    <row r="26" spans="2:18" ht="22.95" customHeight="1">
      <c r="N26" s="51"/>
      <c r="O26" s="51"/>
      <c r="P26" s="51"/>
      <c r="Q26" s="51"/>
      <c r="R26" s="51"/>
    </row>
    <row r="27" spans="2:18" ht="15.6" customHeight="1">
      <c r="N27" s="51"/>
      <c r="O27" s="51"/>
      <c r="P27" s="51"/>
      <c r="Q27" s="51"/>
      <c r="R27" s="51"/>
    </row>
    <row r="28" spans="2:18" ht="20.55" customHeight="1">
      <c r="N28" s="51"/>
      <c r="O28" s="51"/>
      <c r="P28" s="51"/>
      <c r="Q28" s="51"/>
      <c r="R28" s="51"/>
    </row>
    <row r="29" spans="2:18" ht="15.6" customHeight="1">
      <c r="N29" s="51"/>
      <c r="O29" s="51"/>
      <c r="P29" s="51"/>
      <c r="Q29" s="51"/>
      <c r="R29" s="51"/>
    </row>
    <row r="30" spans="2:18" ht="17.850000000000001" customHeight="1"/>
  </sheetData>
  <mergeCells count="10">
    <mergeCell ref="B6:I7"/>
    <mergeCell ref="B17:I17"/>
    <mergeCell ref="B18:I18"/>
    <mergeCell ref="B2:I2"/>
    <mergeCell ref="B3:C4"/>
    <mergeCell ref="D3:F4"/>
    <mergeCell ref="G3:I4"/>
    <mergeCell ref="B5:C5"/>
    <mergeCell ref="D5:F5"/>
    <mergeCell ref="G5:I5"/>
  </mergeCells>
  <phoneticPr fontId="20" type="noConversion"/>
  <pageMargins left="0.7" right="0.7" top="0.75" bottom="0.75" header="0.3" footer="0.3"/>
  <pageSetup paperSize="9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15973-E025-4ABD-80E7-AE519B9447DB}">
  <dimension ref="B1:S75"/>
  <sheetViews>
    <sheetView topLeftCell="A4" workbookViewId="0">
      <selection activeCell="D20" sqref="D20"/>
    </sheetView>
  </sheetViews>
  <sheetFormatPr defaultRowHeight="15.6"/>
  <cols>
    <col min="1" max="1" width="3.77734375" style="1" customWidth="1"/>
    <col min="2" max="2" width="16.109375" style="1" customWidth="1"/>
    <col min="3" max="16" width="10.77734375" style="1" customWidth="1"/>
    <col min="17" max="17" width="7.77734375" style="1" customWidth="1"/>
    <col min="18" max="18" width="13.5546875" style="1" customWidth="1"/>
    <col min="19" max="19" width="9.88671875" style="1" customWidth="1"/>
    <col min="20" max="20" width="13.6640625" style="1" customWidth="1"/>
    <col min="21" max="21" width="14.6640625" style="1" customWidth="1"/>
    <col min="22" max="16384" width="8.88671875" style="1"/>
  </cols>
  <sheetData>
    <row r="1" spans="2:16" ht="16.2" thickBot="1"/>
    <row r="2" spans="2:16" ht="16.2" thickTop="1">
      <c r="B2" s="14"/>
      <c r="C2" s="186" t="s">
        <v>25</v>
      </c>
      <c r="D2" s="187"/>
      <c r="E2" s="186" t="s">
        <v>26</v>
      </c>
      <c r="F2" s="187"/>
      <c r="G2" s="186" t="s">
        <v>27</v>
      </c>
      <c r="H2" s="187"/>
      <c r="I2" s="186" t="s">
        <v>28</v>
      </c>
      <c r="J2" s="187"/>
      <c r="K2" s="186" t="s">
        <v>29</v>
      </c>
      <c r="L2" s="187"/>
      <c r="M2" s="186" t="s">
        <v>30</v>
      </c>
      <c r="N2" s="187"/>
      <c r="O2" s="186" t="s">
        <v>31</v>
      </c>
      <c r="P2" s="187"/>
    </row>
    <row r="3" spans="2:16" ht="16.2" thickBot="1">
      <c r="B3" s="15"/>
      <c r="C3" s="3" t="str">
        <f>抽奖道具</f>
        <v>鱼饵</v>
      </c>
      <c r="D3" s="4" t="s">
        <v>6</v>
      </c>
      <c r="E3" s="3" t="str">
        <f>抽奖道具</f>
        <v>鱼饵</v>
      </c>
      <c r="F3" s="4" t="s">
        <v>6</v>
      </c>
      <c r="G3" s="3" t="str">
        <f>抽奖道具</f>
        <v>鱼饵</v>
      </c>
      <c r="H3" s="4" t="s">
        <v>6</v>
      </c>
      <c r="I3" s="3" t="str">
        <f>抽奖道具</f>
        <v>鱼饵</v>
      </c>
      <c r="J3" s="4" t="s">
        <v>6</v>
      </c>
      <c r="K3" s="3" t="str">
        <f>抽奖道具</f>
        <v>鱼饵</v>
      </c>
      <c r="L3" s="4" t="s">
        <v>6</v>
      </c>
      <c r="M3" s="3" t="str">
        <f>抽奖道具</f>
        <v>鱼饵</v>
      </c>
      <c r="N3" s="4" t="s">
        <v>6</v>
      </c>
      <c r="O3" s="3" t="str">
        <f>抽奖道具</f>
        <v>鱼饵</v>
      </c>
      <c r="P3" s="4" t="s">
        <v>6</v>
      </c>
    </row>
    <row r="4" spans="2:16" ht="16.2" thickTop="1">
      <c r="B4" s="58" t="s">
        <v>53</v>
      </c>
      <c r="C4" s="3">
        <v>5</v>
      </c>
      <c r="D4" s="4">
        <f t="shared" ref="D4:P12" si="0">C4*积分规则1</f>
        <v>25</v>
      </c>
      <c r="E4" s="3"/>
      <c r="F4" s="4">
        <f t="shared" ref="F4:F12" si="1">E4*积分规则1</f>
        <v>0</v>
      </c>
      <c r="G4" s="3"/>
      <c r="H4" s="4">
        <f t="shared" ref="H4:H12" si="2">G4*积分规则1</f>
        <v>0</v>
      </c>
      <c r="I4" s="3"/>
      <c r="J4" s="4">
        <f t="shared" ref="J4:J12" si="3">I4*积分规则1</f>
        <v>0</v>
      </c>
      <c r="K4" s="3"/>
      <c r="L4" s="4">
        <f t="shared" ref="L4:L12" si="4">K4*积分规则1</f>
        <v>0</v>
      </c>
      <c r="M4" s="3"/>
      <c r="N4" s="4">
        <f t="shared" ref="N4:N12" si="5">M4*积分规则1</f>
        <v>0</v>
      </c>
      <c r="O4" s="3"/>
      <c r="P4" s="4">
        <f t="shared" ref="P4:P12" si="6">O4*积分规则1</f>
        <v>0</v>
      </c>
    </row>
    <row r="5" spans="2:16">
      <c r="B5" s="15" t="s">
        <v>32</v>
      </c>
      <c r="C5" s="3">
        <v>40</v>
      </c>
      <c r="D5" s="4">
        <f t="shared" si="0"/>
        <v>200</v>
      </c>
      <c r="E5" s="3">
        <v>40</v>
      </c>
      <c r="F5" s="4">
        <f t="shared" si="1"/>
        <v>200</v>
      </c>
      <c r="G5" s="3">
        <v>40</v>
      </c>
      <c r="H5" s="4">
        <f t="shared" si="2"/>
        <v>200</v>
      </c>
      <c r="I5" s="3">
        <v>40</v>
      </c>
      <c r="J5" s="4">
        <f t="shared" si="3"/>
        <v>200</v>
      </c>
      <c r="K5" s="3">
        <v>40</v>
      </c>
      <c r="L5" s="4">
        <f t="shared" si="4"/>
        <v>200</v>
      </c>
      <c r="M5" s="3">
        <v>40</v>
      </c>
      <c r="N5" s="4">
        <f t="shared" si="5"/>
        <v>200</v>
      </c>
      <c r="O5" s="3">
        <v>40</v>
      </c>
      <c r="P5" s="4">
        <f t="shared" si="6"/>
        <v>200</v>
      </c>
    </row>
    <row r="6" spans="2:16">
      <c r="B6" s="16" t="s">
        <v>17</v>
      </c>
      <c r="C6" s="3">
        <v>80</v>
      </c>
      <c r="D6" s="4">
        <f t="shared" si="0"/>
        <v>400</v>
      </c>
      <c r="E6" s="3">
        <v>80</v>
      </c>
      <c r="F6" s="4">
        <f t="shared" si="1"/>
        <v>400</v>
      </c>
      <c r="G6" s="3">
        <v>80</v>
      </c>
      <c r="H6" s="4">
        <f t="shared" si="2"/>
        <v>400</v>
      </c>
      <c r="I6" s="3">
        <v>80</v>
      </c>
      <c r="J6" s="4">
        <f t="shared" si="3"/>
        <v>400</v>
      </c>
      <c r="K6" s="3">
        <v>80</v>
      </c>
      <c r="L6" s="4">
        <f t="shared" si="4"/>
        <v>400</v>
      </c>
      <c r="M6" s="3">
        <v>80</v>
      </c>
      <c r="N6" s="4">
        <f t="shared" si="5"/>
        <v>400</v>
      </c>
      <c r="O6" s="3">
        <v>80</v>
      </c>
      <c r="P6" s="4">
        <f t="shared" si="6"/>
        <v>400</v>
      </c>
    </row>
    <row r="7" spans="2:16">
      <c r="B7" s="80" t="s">
        <v>49</v>
      </c>
      <c r="C7" s="3">
        <v>25</v>
      </c>
      <c r="D7" s="4">
        <f t="shared" si="0"/>
        <v>125</v>
      </c>
      <c r="E7" s="3"/>
      <c r="F7" s="4">
        <f t="shared" si="1"/>
        <v>0</v>
      </c>
      <c r="G7" s="3"/>
      <c r="H7" s="4">
        <f t="shared" si="2"/>
        <v>0</v>
      </c>
      <c r="I7" s="3">
        <v>0</v>
      </c>
      <c r="J7" s="4">
        <f t="shared" si="3"/>
        <v>0</v>
      </c>
      <c r="K7" s="3">
        <v>0</v>
      </c>
      <c r="L7" s="4">
        <f t="shared" si="4"/>
        <v>0</v>
      </c>
      <c r="M7" s="3">
        <v>0</v>
      </c>
      <c r="N7" s="4">
        <f t="shared" si="5"/>
        <v>0</v>
      </c>
      <c r="O7" s="3">
        <v>0</v>
      </c>
      <c r="P7" s="4">
        <f t="shared" si="6"/>
        <v>0</v>
      </c>
    </row>
    <row r="8" spans="2:16">
      <c r="B8" s="15" t="s">
        <v>50</v>
      </c>
      <c r="C8" s="3"/>
      <c r="D8" s="4">
        <f t="shared" si="0"/>
        <v>0</v>
      </c>
      <c r="E8" s="3"/>
      <c r="F8" s="4">
        <f t="shared" si="1"/>
        <v>0</v>
      </c>
      <c r="G8" s="3"/>
      <c r="H8" s="4">
        <f t="shared" si="2"/>
        <v>0</v>
      </c>
      <c r="I8" s="3"/>
      <c r="J8" s="4">
        <f t="shared" si="3"/>
        <v>0</v>
      </c>
      <c r="K8" s="3"/>
      <c r="L8" s="4">
        <f t="shared" si="4"/>
        <v>0</v>
      </c>
      <c r="M8" s="3"/>
      <c r="N8" s="4">
        <f t="shared" si="5"/>
        <v>0</v>
      </c>
      <c r="O8" s="3"/>
      <c r="P8" s="4">
        <f t="shared" si="6"/>
        <v>0</v>
      </c>
    </row>
    <row r="9" spans="2:16">
      <c r="B9" s="15" t="s">
        <v>58</v>
      </c>
      <c r="C9" s="3">
        <v>0</v>
      </c>
      <c r="D9" s="4">
        <f t="shared" si="0"/>
        <v>0</v>
      </c>
      <c r="E9" s="3">
        <v>0</v>
      </c>
      <c r="F9" s="4">
        <f t="shared" si="0"/>
        <v>0</v>
      </c>
      <c r="G9" s="3">
        <v>0</v>
      </c>
      <c r="H9" s="4">
        <f t="shared" si="0"/>
        <v>0</v>
      </c>
      <c r="I9" s="3">
        <v>0</v>
      </c>
      <c r="J9" s="4">
        <f t="shared" si="0"/>
        <v>0</v>
      </c>
      <c r="K9" s="3">
        <v>0</v>
      </c>
      <c r="L9" s="4">
        <f t="shared" si="0"/>
        <v>0</v>
      </c>
      <c r="M9" s="3">
        <v>0</v>
      </c>
      <c r="N9" s="4">
        <f t="shared" si="0"/>
        <v>0</v>
      </c>
      <c r="O9" s="3">
        <v>0</v>
      </c>
      <c r="P9" s="4">
        <f t="shared" si="0"/>
        <v>0</v>
      </c>
    </row>
    <row r="10" spans="2:16" ht="16.2" thickBot="1">
      <c r="B10" s="59" t="s">
        <v>194</v>
      </c>
      <c r="C10" s="3">
        <v>200</v>
      </c>
      <c r="D10" s="4">
        <f>C10*积分规则1</f>
        <v>1000</v>
      </c>
      <c r="E10" s="3">
        <v>0</v>
      </c>
      <c r="F10" s="4">
        <f>E10*积分规则1</f>
        <v>0</v>
      </c>
      <c r="G10" s="3">
        <v>0</v>
      </c>
      <c r="H10" s="4">
        <f>G10*积分规则1</f>
        <v>0</v>
      </c>
      <c r="I10" s="3">
        <v>0</v>
      </c>
      <c r="J10" s="4">
        <f>I10*积分规则1</f>
        <v>0</v>
      </c>
      <c r="K10" s="3">
        <v>0</v>
      </c>
      <c r="L10" s="4">
        <f>K10*积分规则1</f>
        <v>0</v>
      </c>
      <c r="M10" s="3">
        <v>0</v>
      </c>
      <c r="N10" s="4">
        <f>M10*积分规则1</f>
        <v>0</v>
      </c>
      <c r="O10" s="3">
        <v>0</v>
      </c>
      <c r="P10" s="4">
        <f>O10*积分规则1</f>
        <v>0</v>
      </c>
    </row>
    <row r="11" spans="2:16" ht="16.2" thickTop="1">
      <c r="B11" s="60" t="s">
        <v>51</v>
      </c>
      <c r="C11" s="3">
        <v>350</v>
      </c>
      <c r="D11" s="4">
        <f t="shared" si="0"/>
        <v>1750</v>
      </c>
      <c r="E11" s="3">
        <v>0</v>
      </c>
      <c r="F11" s="4">
        <f t="shared" si="1"/>
        <v>0</v>
      </c>
      <c r="G11" s="3">
        <v>0</v>
      </c>
      <c r="H11" s="4">
        <f t="shared" si="2"/>
        <v>0</v>
      </c>
      <c r="I11" s="3">
        <v>0</v>
      </c>
      <c r="J11" s="4">
        <f t="shared" si="3"/>
        <v>0</v>
      </c>
      <c r="K11" s="3">
        <v>0</v>
      </c>
      <c r="L11" s="4">
        <f t="shared" si="4"/>
        <v>0</v>
      </c>
      <c r="M11" s="3">
        <v>0</v>
      </c>
      <c r="N11" s="4">
        <f t="shared" si="5"/>
        <v>0</v>
      </c>
      <c r="O11" s="3">
        <v>0</v>
      </c>
      <c r="P11" s="4">
        <f t="shared" si="6"/>
        <v>0</v>
      </c>
    </row>
    <row r="12" spans="2:16" ht="16.2" thickBot="1">
      <c r="B12" s="61" t="s">
        <v>52</v>
      </c>
      <c r="C12" s="3"/>
      <c r="D12" s="4">
        <f t="shared" si="0"/>
        <v>0</v>
      </c>
      <c r="E12" s="3"/>
      <c r="F12" s="4">
        <f t="shared" si="1"/>
        <v>0</v>
      </c>
      <c r="G12" s="3"/>
      <c r="H12" s="4">
        <f t="shared" si="2"/>
        <v>0</v>
      </c>
      <c r="I12" s="3"/>
      <c r="J12" s="4">
        <f t="shared" si="3"/>
        <v>0</v>
      </c>
      <c r="K12" s="3"/>
      <c r="L12" s="4">
        <f t="shared" si="4"/>
        <v>0</v>
      </c>
      <c r="M12" s="3"/>
      <c r="N12" s="4">
        <f t="shared" si="5"/>
        <v>0</v>
      </c>
      <c r="O12" s="3"/>
      <c r="P12" s="4">
        <f t="shared" si="6"/>
        <v>0</v>
      </c>
    </row>
    <row r="13" spans="2:16" ht="16.2" thickTop="1">
      <c r="B13" s="69" t="str">
        <f>"使用"&amp;抽奖道具</f>
        <v>使用鱼饵</v>
      </c>
      <c r="C13" s="3">
        <v>700</v>
      </c>
      <c r="D13" s="4">
        <f>C13*积分规则3</f>
        <v>175</v>
      </c>
      <c r="E13" s="3">
        <v>120</v>
      </c>
      <c r="F13" s="4">
        <f>E13*积分规则3</f>
        <v>30</v>
      </c>
      <c r="G13" s="3">
        <v>120</v>
      </c>
      <c r="H13" s="4">
        <f>G13*积分规则3</f>
        <v>30</v>
      </c>
      <c r="I13" s="3">
        <v>120</v>
      </c>
      <c r="J13" s="4">
        <f>I13*积分规则3</f>
        <v>30</v>
      </c>
      <c r="K13" s="3">
        <v>120</v>
      </c>
      <c r="L13" s="4">
        <f>K13*积分规则3</f>
        <v>30</v>
      </c>
      <c r="M13" s="3">
        <v>120</v>
      </c>
      <c r="N13" s="4">
        <f>M13*积分规则3</f>
        <v>30</v>
      </c>
      <c r="O13" s="3">
        <v>120</v>
      </c>
      <c r="P13" s="4">
        <f>O13*积分规则3</f>
        <v>30</v>
      </c>
    </row>
    <row r="14" spans="2:16" ht="16.2" thickBot="1">
      <c r="B14" s="62" t="str">
        <f>"剩余"&amp;抽奖道具</f>
        <v>剩余鱼饵</v>
      </c>
      <c r="C14" s="3">
        <f>C22-C13</f>
        <v>0</v>
      </c>
      <c r="D14" s="4"/>
      <c r="E14" s="3">
        <f>C14+SUM(E4:E12)-E13</f>
        <v>0</v>
      </c>
      <c r="F14" s="4"/>
      <c r="G14" s="3">
        <f>E14+SUM(G4:G12)-G13</f>
        <v>0</v>
      </c>
      <c r="H14" s="4"/>
      <c r="I14" s="3">
        <f>G14+SUM(I4:I12)-I13</f>
        <v>0</v>
      </c>
      <c r="J14" s="4"/>
      <c r="K14" s="3">
        <f>I14+SUM(K4:K12)-K13</f>
        <v>0</v>
      </c>
      <c r="L14" s="4"/>
      <c r="M14" s="3">
        <f>K14+SUM(M4:M12)-M13</f>
        <v>0</v>
      </c>
      <c r="N14" s="4"/>
      <c r="O14" s="3">
        <f>M14+SUM(O4:O12)-O13</f>
        <v>0</v>
      </c>
      <c r="P14" s="4"/>
    </row>
    <row r="15" spans="2:16" ht="16.2" thickTop="1">
      <c r="B15" s="63" t="s">
        <v>33</v>
      </c>
      <c r="C15" s="3">
        <v>24</v>
      </c>
      <c r="D15" s="4">
        <f>C15*随机箱积分</f>
        <v>252.24</v>
      </c>
      <c r="E15" s="3">
        <v>1</v>
      </c>
      <c r="F15" s="4">
        <f>E15*随机箱积分</f>
        <v>10.51</v>
      </c>
      <c r="G15" s="3">
        <v>1</v>
      </c>
      <c r="H15" s="4">
        <f>G15*随机箱积分</f>
        <v>10.51</v>
      </c>
      <c r="I15" s="3">
        <v>1</v>
      </c>
      <c r="J15" s="4">
        <f>I15*随机箱积分</f>
        <v>10.51</v>
      </c>
      <c r="K15" s="3">
        <v>1</v>
      </c>
      <c r="L15" s="4">
        <f>K15*随机箱积分</f>
        <v>10.51</v>
      </c>
      <c r="M15" s="3">
        <v>1</v>
      </c>
      <c r="N15" s="4">
        <f>M15*随机箱积分</f>
        <v>10.51</v>
      </c>
      <c r="O15" s="3">
        <v>47</v>
      </c>
      <c r="P15" s="68">
        <f>O15*随机箱积分</f>
        <v>493.96999999999997</v>
      </c>
    </row>
    <row r="16" spans="2:16" ht="16.2" thickBot="1">
      <c r="B16" s="62" t="s">
        <v>34</v>
      </c>
      <c r="C16" s="3">
        <f>C24-SUM(C15)</f>
        <v>41</v>
      </c>
      <c r="D16" s="4"/>
      <c r="E16" s="3">
        <f>E24-SUM(C15,E15)</f>
        <v>41</v>
      </c>
      <c r="F16" s="4"/>
      <c r="G16" s="3">
        <f>G24-SUM(C15,E15,G15)</f>
        <v>41</v>
      </c>
      <c r="H16" s="4"/>
      <c r="I16" s="3">
        <f>I24-SUM(C15,E15,G15,I15)</f>
        <v>41</v>
      </c>
      <c r="J16" s="4"/>
      <c r="K16" s="3">
        <f>K24-SUM(C15,E15,G15,I15,K15)</f>
        <v>41</v>
      </c>
      <c r="L16" s="4"/>
      <c r="M16" s="3">
        <f>M24-SUM(C15,E15,G15,I15,K15,M15)</f>
        <v>41</v>
      </c>
      <c r="N16" s="4"/>
      <c r="O16" s="3">
        <f>O24-SUM(C15,E15,G15,I15,K15,M15,O15)</f>
        <v>0</v>
      </c>
      <c r="P16" s="4"/>
    </row>
    <row r="17" spans="2:16" ht="16.2" thickTop="1">
      <c r="B17" s="64" t="s">
        <v>192</v>
      </c>
      <c r="C17" s="3">
        <v>0</v>
      </c>
      <c r="D17" s="4">
        <f>C17*0</f>
        <v>0</v>
      </c>
      <c r="E17" s="3"/>
      <c r="F17" s="4">
        <f>E17*0</f>
        <v>0</v>
      </c>
      <c r="G17" s="3"/>
      <c r="H17" s="4">
        <f>G17*0</f>
        <v>0</v>
      </c>
      <c r="I17" s="3"/>
      <c r="J17" s="4">
        <f>I17*0</f>
        <v>0</v>
      </c>
      <c r="K17" s="3"/>
      <c r="L17" s="4">
        <f>K17*0</f>
        <v>0</v>
      </c>
      <c r="M17" s="3"/>
      <c r="N17" s="4">
        <f>M17*0</f>
        <v>0</v>
      </c>
      <c r="O17" s="3"/>
      <c r="P17" s="4">
        <f>O17*0</f>
        <v>0</v>
      </c>
    </row>
    <row r="18" spans="2:16">
      <c r="B18" s="15" t="s">
        <v>227</v>
      </c>
      <c r="C18" s="3">
        <v>6</v>
      </c>
      <c r="D18" s="4">
        <v>60</v>
      </c>
      <c r="E18" s="3"/>
      <c r="F18" s="4"/>
      <c r="G18" s="3"/>
      <c r="H18" s="4"/>
      <c r="I18" s="3"/>
      <c r="J18" s="4"/>
      <c r="K18" s="3"/>
      <c r="L18" s="4"/>
      <c r="M18" s="3"/>
      <c r="N18" s="4"/>
      <c r="O18" s="3"/>
      <c r="P18" s="4"/>
    </row>
    <row r="19" spans="2:16" ht="16.2" thickBot="1">
      <c r="B19" s="15" t="s">
        <v>54</v>
      </c>
      <c r="C19" s="3"/>
      <c r="D19" s="4"/>
      <c r="E19" s="3"/>
      <c r="F19" s="4"/>
      <c r="G19" s="3"/>
      <c r="H19" s="4"/>
      <c r="I19" s="3"/>
      <c r="J19" s="4"/>
      <c r="K19" s="3"/>
      <c r="L19" s="4"/>
      <c r="M19" s="3"/>
      <c r="N19" s="4"/>
      <c r="O19" s="3"/>
      <c r="P19" s="4"/>
    </row>
    <row r="20" spans="2:16" ht="16.8" thickTop="1" thickBot="1">
      <c r="B20" s="71" t="s">
        <v>56</v>
      </c>
      <c r="C20" s="72" t="str">
        <f>IFERROR(LOOKUP(D20,档位积分1:档位积分5,第1档:第5档),"无奖励")</f>
        <v>第5档</v>
      </c>
      <c r="D20" s="73">
        <f>SUM(D4:D13)+D15+SUM(D17:D19)</f>
        <v>3987.24</v>
      </c>
      <c r="E20" s="74" t="str">
        <f>IFERROR(LOOKUP(F20,档位积分1:档位积分5,第1档:第5档),"无奖励")</f>
        <v>第2档</v>
      </c>
      <c r="F20" s="73">
        <f>SUM(F4:F13)+F15+SUM(F17:F19)</f>
        <v>640.51</v>
      </c>
      <c r="G20" s="74" t="str">
        <f>IFERROR(LOOKUP(H20,档位积分1:档位积分5,第1档:第5档),"无奖励")</f>
        <v>第2档</v>
      </c>
      <c r="H20" s="73">
        <f>SUM(H4:H13)+H15+SUM(H17:H19)</f>
        <v>640.51</v>
      </c>
      <c r="I20" s="74" t="str">
        <f>IFERROR(LOOKUP(J20,档位积分1:档位积分5,第1档:第5档),"无奖励")</f>
        <v>第2档</v>
      </c>
      <c r="J20" s="73">
        <f>SUM(J4:J13)+J15+SUM(J17:J19)</f>
        <v>640.51</v>
      </c>
      <c r="K20" s="74" t="str">
        <f>IFERROR(LOOKUP(L20,档位积分1:档位积分5,第1档:第5档),"无奖励")</f>
        <v>第2档</v>
      </c>
      <c r="L20" s="73">
        <f>SUM(L4:L13)+L15+SUM(L17:L19)</f>
        <v>640.51</v>
      </c>
      <c r="M20" s="74" t="str">
        <f>IFERROR(LOOKUP(N20,档位积分1:档位积分5,第1档:第5档),"无奖励")</f>
        <v>第2档</v>
      </c>
      <c r="N20" s="73">
        <f>SUM(N4:N13)+N15+SUM(N17:N19)</f>
        <v>640.51</v>
      </c>
      <c r="O20" s="74" t="str">
        <f>IFERROR(LOOKUP(P20,档位积分1:档位积分5,第1档:第5档),"无奖励")</f>
        <v>第3档</v>
      </c>
      <c r="P20" s="73">
        <f>SUM(P4:P13)+P15+SUM(P17:P19)</f>
        <v>1123.97</v>
      </c>
    </row>
    <row r="21" spans="2:16" ht="16.8" thickTop="1" thickBot="1">
      <c r="B21" s="58" t="s">
        <v>57</v>
      </c>
      <c r="C21" s="56" t="str">
        <f>IF(D20&gt;=MAX(档位积分1:档位积分5), "已是最高档",
   IF(D20&lt;MIN(档位积分1:档位积分5), INDEX(第1档:第5档, 1),
      INDEX(第1档:第5档, MATCH(D20, 档位积分1:档位积分5, 1)+1)))</f>
        <v>已是最高档</v>
      </c>
      <c r="D21" s="79" t="str">
        <f>IF(D20&gt;=MAX(档位积分1:档位积分5), "",
   IF(D20&lt;MIN(档位积分1:档位积分5), MIN(档位积分1:档位积分5),
      INDEX(档位积分1:档位积分5, MATCH(D20, 档位积分1:档位积分5, 1)+1)))</f>
        <v/>
      </c>
      <c r="E21" s="56" t="str">
        <f>IF(F20&gt;=MAX(档位积分1:档位积分5), "已是最高档",
   IF(F20&lt;MIN(档位积分1:档位积分5), INDEX(第1档:第5档, 1),
      INDEX(第1档:第5档, MATCH(F20, 档位积分1:档位积分5, 1)+1)))</f>
        <v>第3档</v>
      </c>
      <c r="F21" s="79">
        <f>IF(F20&gt;=MAX(档位积分1:档位积分5), "",
   IF(F20&lt;MIN(档位积分1:档位积分5), MIN(档位积分1:档位积分5),
      INDEX(档位积分1:档位积分5, MATCH(F20, 档位积分1:档位积分5, 1)+1)))</f>
        <v>1060</v>
      </c>
      <c r="G21" s="56" t="str">
        <f>IF(H20&gt;=MAX(档位积分1:档位积分5), "已是最高档",
   IF(H20&lt;MIN(档位积分1:档位积分5), INDEX(第1档:第5档, 1),
      INDEX(第1档:第5档, MATCH(H20, 档位积分1:档位积分5, 1)+1)))</f>
        <v>第3档</v>
      </c>
      <c r="H21" s="79">
        <f>IF(H20&gt;=MAX(档位积分1:档位积分5), "",
   IF(H20&lt;MIN(档位积分1:档位积分5), MIN(档位积分1:档位积分5),
      INDEX(档位积分1:档位积分5, MATCH(H20, 档位积分1:档位积分5, 1)+1)))</f>
        <v>1060</v>
      </c>
      <c r="I21" s="56" t="str">
        <f>IF(J20&gt;=MAX(档位积分1:档位积分5), "已是最高档",
   IF(J20&lt;MIN(档位积分1:档位积分5), INDEX(第1档:第5档, 1),
      INDEX(第1档:第5档, MATCH(J20, 档位积分1:档位积分5, 1)+1)))</f>
        <v>第3档</v>
      </c>
      <c r="J21" s="79">
        <f>IF(J20&gt;=MAX(档位积分1:档位积分5), "",
   IF(J20&lt;MIN(档位积分1:档位积分5), MIN(档位积分1:档位积分5),
      INDEX(档位积分1:档位积分5, MATCH(J20, 档位积分1:档位积分5, 1)+1)))</f>
        <v>1060</v>
      </c>
      <c r="K21" s="56" t="str">
        <f>IF(L20&gt;=MAX(档位积分1:档位积分5), "已是最高档",
   IF(L20&lt;MIN(档位积分1:档位积分5), INDEX(第1档:第5档, 1),
      INDEX(第1档:第5档, MATCH(L20, 档位积分1:档位积分5, 1)+1)))</f>
        <v>第3档</v>
      </c>
      <c r="L21" s="79">
        <f>IF(L20&gt;=MAX(档位积分1:档位积分5), "",
   IF(L20&lt;MIN(档位积分1:档位积分5), MIN(档位积分1:档位积分5),
      INDEX(档位积分1:档位积分5, MATCH(L20, 档位积分1:档位积分5, 1)+1)))</f>
        <v>1060</v>
      </c>
      <c r="M21" s="56" t="str">
        <f>IF(N20&gt;=MAX(档位积分1:档位积分5), "已是最高档",
   IF(N20&lt;MIN(档位积分1:档位积分5), INDEX(第1档:第5档, 1),
      INDEX(第1档:第5档, MATCH(N20, 档位积分1:档位积分5, 1)+1)))</f>
        <v>第3档</v>
      </c>
      <c r="N21" s="79">
        <f>IF(N20&gt;=MAX(档位积分1:档位积分5), "",
   IF(N20&lt;MIN(档位积分1:档位积分5), MIN(档位积分1:档位积分5),
      INDEX(档位积分1:档位积分5, MATCH(N20, 档位积分1:档位积分5, 1)+1)))</f>
        <v>1060</v>
      </c>
      <c r="O21" s="56" t="str">
        <f>IF(P20&gt;=MAX(档位积分1:档位积分5), "已是最高档",
   IF(P20&lt;MIN(档位积分1:档位积分5), INDEX(第1档:第5档, 1),
      INDEX(第1档:第5档, MATCH(P20, 档位积分1:档位积分5, 1)+1)))</f>
        <v>第4档</v>
      </c>
      <c r="P21" s="79">
        <f>IF(P20&gt;=MAX(档位积分1:档位积分5), "",
   IF(P20&lt;MIN(档位积分1:档位积分5), MIN(档位积分1:档位积分5),
      INDEX(档位积分1:档位积分5, MATCH(P20, 档位积分1:档位积分5, 1)+1)))</f>
        <v>2520</v>
      </c>
    </row>
    <row r="22" spans="2:16" ht="16.2" thickTop="1">
      <c r="B22" s="70" t="str">
        <f>"总"&amp;抽奖道具</f>
        <v>总鱼饵</v>
      </c>
      <c r="C22" s="56">
        <f>SUM(C4:C12)</f>
        <v>700</v>
      </c>
      <c r="D22" s="57">
        <f>C22*积分规则3</f>
        <v>175</v>
      </c>
      <c r="E22" s="56">
        <f>C22+SUM(E4:E12)</f>
        <v>820</v>
      </c>
      <c r="F22" s="57">
        <v>0</v>
      </c>
      <c r="G22" s="56">
        <f>E22+SUM(G4:G12)</f>
        <v>940</v>
      </c>
      <c r="H22" s="57">
        <v>0</v>
      </c>
      <c r="I22" s="56">
        <f>G22+SUM(I4:I12)</f>
        <v>1060</v>
      </c>
      <c r="J22" s="57">
        <v>0</v>
      </c>
      <c r="K22" s="56">
        <f>I22+SUM(K4:K12)</f>
        <v>1180</v>
      </c>
      <c r="L22" s="57">
        <v>0</v>
      </c>
      <c r="M22" s="56">
        <f>K22+SUM(M4:M12)</f>
        <v>1300</v>
      </c>
      <c r="N22" s="57">
        <v>0</v>
      </c>
      <c r="O22" s="56">
        <f>M22+SUM(O4:O12)</f>
        <v>1420</v>
      </c>
      <c r="P22" s="57">
        <v>0</v>
      </c>
    </row>
    <row r="23" spans="2:16">
      <c r="B23" s="92" t="s">
        <v>196</v>
      </c>
      <c r="C23" s="3">
        <f>C13</f>
        <v>700</v>
      </c>
      <c r="D23" s="4"/>
      <c r="E23" s="3">
        <f>C23+E13</f>
        <v>820</v>
      </c>
      <c r="F23" s="4"/>
      <c r="G23" s="3">
        <f>G13+E23</f>
        <v>940</v>
      </c>
      <c r="H23" s="4"/>
      <c r="I23" s="3">
        <f>I13+G23</f>
        <v>1060</v>
      </c>
      <c r="J23" s="4"/>
      <c r="K23" s="3">
        <f>K13+I23</f>
        <v>1180</v>
      </c>
      <c r="L23" s="4"/>
      <c r="M23" s="3">
        <f>M13+K23</f>
        <v>1300</v>
      </c>
      <c r="N23" s="4"/>
      <c r="O23" s="3">
        <f>O13+M23</f>
        <v>1420</v>
      </c>
      <c r="P23" s="4"/>
    </row>
    <row r="24" spans="2:16" ht="16.2" thickBot="1">
      <c r="B24" s="55" t="s">
        <v>55</v>
      </c>
      <c r="C24" s="5">
        <f>IFERROR(LOOKUP(D20,档位积分1:档位积分5,档位奖励1:档位奖励5),0)+15</f>
        <v>65</v>
      </c>
      <c r="D24" s="13">
        <f>C24*随机箱积分</f>
        <v>683.15</v>
      </c>
      <c r="E24" s="5">
        <f>IFERROR(LOOKUP(F20,档位积分1:档位积分5,档位奖励1:档位奖励5),0)+C24</f>
        <v>66</v>
      </c>
      <c r="F24" s="13">
        <f>E24*随机箱积分</f>
        <v>693.66</v>
      </c>
      <c r="G24" s="5">
        <f>IFERROR(LOOKUP(H20,档位积分1:档位积分5,档位奖励1:档位奖励5),0)+E24</f>
        <v>67</v>
      </c>
      <c r="H24" s="13">
        <f>G24*随机箱积分</f>
        <v>704.17</v>
      </c>
      <c r="I24" s="5">
        <f>IFERROR(LOOKUP(J20,档位积分1:档位积分5,档位奖励1:档位奖励5),0)+G24</f>
        <v>68</v>
      </c>
      <c r="J24" s="13">
        <f>I24*随机箱积分</f>
        <v>714.68</v>
      </c>
      <c r="K24" s="5">
        <f>IFERROR(LOOKUP(L20,档位积分1:档位积分5,档位奖励1:档位奖励5),0)+I24</f>
        <v>69</v>
      </c>
      <c r="L24" s="13">
        <f>K24*随机箱积分</f>
        <v>725.18999999999994</v>
      </c>
      <c r="M24" s="5">
        <f>IFERROR(LOOKUP(N20,档位积分1:档位积分5,档位奖励1:档位奖励5),0)+K24</f>
        <v>70</v>
      </c>
      <c r="N24" s="13">
        <f>M24*随机箱积分</f>
        <v>735.69999999999993</v>
      </c>
      <c r="O24" s="5">
        <f>IFERROR(LOOKUP(P20,档位积分1:档位积分5,档位奖励1:档位奖励5),0)+M24</f>
        <v>76</v>
      </c>
      <c r="P24" s="13">
        <f>O24*随机箱积分</f>
        <v>798.76</v>
      </c>
    </row>
    <row r="25" spans="2:16" ht="16.2" thickTop="1">
      <c r="B25" s="58" t="str">
        <f>普通兑换道具</f>
        <v>钓鱼积分</v>
      </c>
      <c r="C25" s="75">
        <f>IF(C23&lt;=77,C23*97.5,IF(C23&lt;=177,7507.5+(C23-77)*156,IF(C23&lt;=292,23107.5+(C23-177)*234,50017.5+(C23-292)*468)))-4000-8700-10500</f>
        <v>217761.5</v>
      </c>
      <c r="D25" s="57"/>
      <c r="E25" s="75">
        <f>IF(E23&lt;=77,E23*97.5,IF(E23&lt;=177,7507.5+(E23-77)*156,IF(E23&lt;=292,23107.5+(E23-177)*234,50017.5+(E23-292)*468)))-4000-8700-10500</f>
        <v>273921.5</v>
      </c>
      <c r="F25" s="76"/>
      <c r="G25" s="75">
        <f>IF(G23&lt;=77,G23*97.5,IF(G23&lt;=177,7507.5+(G23-77)*156,IF(G23&lt;=292,23107.5+(G23-177)*234,50017.5+(G23-292)*468)))-4000-8700-10500</f>
        <v>330081.5</v>
      </c>
      <c r="H25" s="76"/>
      <c r="I25" s="75">
        <f>IF(I23&lt;=77,I23*97.5,IF(I23&lt;=177,7507.5+(I23-77)*156,IF(I23&lt;=292,23107.5+(I23-177)*234,50017.5+(I23-292)*468)))-4000-4000-8700-10500</f>
        <v>382241.5</v>
      </c>
      <c r="J25" s="76"/>
      <c r="K25" s="75">
        <f>IF(K23&lt;=77,K23*97.5,IF(K23&lt;=177,7507.5+(K23-77)*156,IF(K23&lt;=292,23107.5+(K23-177)*234,50017.5+(K23-292)*468)))-4000-8700-10500</f>
        <v>442401.5</v>
      </c>
      <c r="L25" s="76"/>
      <c r="M25" s="75">
        <f>IF(M23&lt;=77,M23*97.5,IF(M23&lt;=177,7507.5+(M23-77)*156,IF(M23&lt;=292,23107.5+(M23-177)*234,50017.5+(M23-292)*468)))-4000-8700-10500</f>
        <v>498561.5</v>
      </c>
      <c r="N25" s="76"/>
      <c r="O25" s="75">
        <f>IF(O23&lt;=77,O23*97.5,IF(O23&lt;=177,7507.5+(O23-77)*156,IF(O23&lt;=292,23107.5+(O23-177)*234,50017.5+(O23-292)*468)))-4000-8700-10500</f>
        <v>554721.5</v>
      </c>
      <c r="P25" s="57"/>
    </row>
    <row r="26" spans="2:16" ht="16.2" thickBot="1">
      <c r="B26" s="59" t="str">
        <f>高级兑换道具</f>
        <v>鱼王之证</v>
      </c>
      <c r="C26" s="77">
        <f>C13*高级兑换道具抽奖期望+C15*随机箱高级道具期望+6</f>
        <v>48.723999999999997</v>
      </c>
      <c r="D26" s="13"/>
      <c r="E26" s="77">
        <f>E13*高级兑换道具抽奖期望+E15*随机箱高级道具期望+C26</f>
        <v>52.774999999999999</v>
      </c>
      <c r="F26" s="78"/>
      <c r="G26" s="77">
        <f>G13*高级兑换道具抽奖期望+G15*随机箱高级道具期望+E26</f>
        <v>56.826000000000001</v>
      </c>
      <c r="H26" s="78"/>
      <c r="I26" s="77">
        <f>I13*高级兑换道具抽奖期望+I15*随机箱高级道具期望+G26</f>
        <v>60.877000000000002</v>
      </c>
      <c r="J26" s="78"/>
      <c r="K26" s="77">
        <f>K13*高级兑换道具抽奖期望+K15*随机箱高级道具期望+I26</f>
        <v>64.927999999999997</v>
      </c>
      <c r="L26" s="78"/>
      <c r="M26" s="77">
        <f>M13*高级兑换道具抽奖期望+M15*随机箱高级道具期望+K26</f>
        <v>68.978999999999999</v>
      </c>
      <c r="N26" s="78"/>
      <c r="O26" s="105">
        <f>O13*高级兑换道具抽奖期望+O15*随机箱高级道具期望+M26+O17</f>
        <v>121.376</v>
      </c>
      <c r="P26" s="13"/>
    </row>
    <row r="27" spans="2:16" ht="16.2" thickTop="1">
      <c r="B27" s="190" t="s">
        <v>47</v>
      </c>
      <c r="C27" s="20">
        <v>30</v>
      </c>
      <c r="D27" s="21">
        <v>68</v>
      </c>
      <c r="E27" s="20">
        <v>0</v>
      </c>
      <c r="F27" s="21">
        <v>0</v>
      </c>
      <c r="G27" s="20">
        <v>0</v>
      </c>
      <c r="H27" s="21">
        <v>0</v>
      </c>
      <c r="I27" s="20">
        <v>0</v>
      </c>
      <c r="J27" s="21">
        <v>0</v>
      </c>
      <c r="K27" s="20">
        <v>0</v>
      </c>
      <c r="L27" s="21">
        <v>0</v>
      </c>
      <c r="M27" s="20">
        <v>0</v>
      </c>
      <c r="N27" s="21">
        <v>0</v>
      </c>
      <c r="O27" s="20">
        <v>0</v>
      </c>
      <c r="P27" s="21">
        <v>0</v>
      </c>
    </row>
    <row r="28" spans="2:16">
      <c r="B28" s="191"/>
      <c r="C28" s="65">
        <v>198</v>
      </c>
      <c r="D28" s="26">
        <v>198</v>
      </c>
      <c r="E28" s="65">
        <v>0</v>
      </c>
      <c r="F28" s="26">
        <v>0</v>
      </c>
      <c r="G28" s="65">
        <v>0</v>
      </c>
      <c r="H28" s="26">
        <v>0</v>
      </c>
      <c r="I28" s="65">
        <v>0</v>
      </c>
      <c r="J28" s="26">
        <v>0</v>
      </c>
      <c r="K28" s="65">
        <v>0</v>
      </c>
      <c r="L28" s="26">
        <v>0</v>
      </c>
      <c r="M28" s="65">
        <v>0</v>
      </c>
      <c r="N28" s="26">
        <v>0</v>
      </c>
      <c r="O28" s="65">
        <v>0</v>
      </c>
      <c r="P28" s="26">
        <v>0</v>
      </c>
    </row>
    <row r="29" spans="2:16" ht="16.2" thickBot="1">
      <c r="B29" s="192"/>
      <c r="C29" s="109">
        <v>68</v>
      </c>
      <c r="D29" s="17">
        <v>128</v>
      </c>
      <c r="E29" s="66"/>
      <c r="F29" s="67"/>
      <c r="G29" s="66"/>
      <c r="H29" s="67"/>
      <c r="I29" s="66"/>
      <c r="J29" s="67"/>
      <c r="K29" s="66"/>
      <c r="L29" s="67"/>
      <c r="M29" s="66"/>
      <c r="N29" s="67"/>
      <c r="O29" s="66"/>
      <c r="P29" s="67"/>
    </row>
    <row r="30" spans="2:16" ht="16.2" thickTop="1">
      <c r="B30" s="191" t="s">
        <v>48</v>
      </c>
      <c r="C30" s="20">
        <f>IFERROR(LOOKUP(C27,价格6:价格648,翡翠100:翡翠10000),0)</f>
        <v>500</v>
      </c>
      <c r="D30" s="21">
        <f>IFERROR(LOOKUP(D27,价格6:价格648,翡翠100:翡翠10000),0)</f>
        <v>1000</v>
      </c>
      <c r="E30" s="20">
        <f>IFERROR(LOOKUP(E27,价格6:价格648,翡翠100:翡翠10000),0)</f>
        <v>0</v>
      </c>
      <c r="F30" s="21">
        <f>IFERROR(LOOKUP(F27,价格6:价格648,翡翠100:翡翠10000),0)</f>
        <v>0</v>
      </c>
      <c r="G30" s="20">
        <f>IFERROR(LOOKUP(G27,价格6:价格648,翡翠100:翡翠10000),0)</f>
        <v>0</v>
      </c>
      <c r="H30" s="21">
        <f>IFERROR(LOOKUP(H27,价格6:价格648,翡翠100:翡翠10000),0)</f>
        <v>0</v>
      </c>
      <c r="I30" s="20">
        <f>IFERROR(LOOKUP(I27,价格6:价格648,翡翠100:翡翠10000),0)</f>
        <v>0</v>
      </c>
      <c r="J30" s="21">
        <f>IFERROR(LOOKUP(J27,价格6:价格648,翡翠100:翡翠10000),0)</f>
        <v>0</v>
      </c>
      <c r="K30" s="20">
        <v>0</v>
      </c>
      <c r="L30" s="21">
        <v>0</v>
      </c>
      <c r="M30" s="20">
        <f>IFERROR(LOOKUP(M27,价格6:价格648,翡翠100:翡翠10000),0)</f>
        <v>0</v>
      </c>
      <c r="N30" s="21">
        <f>IFERROR(LOOKUP(N27,价格6:价格648,翡翠100:翡翠10000),0)</f>
        <v>0</v>
      </c>
      <c r="O30" s="20">
        <f>IFERROR(LOOKUP(O27,价格6:价格648,翡翠100:翡翠10000),0)</f>
        <v>0</v>
      </c>
      <c r="P30" s="21">
        <f>IFERROR(LOOKUP(P27,价格6:价格648,翡翠100:翡翠10000),0)</f>
        <v>0</v>
      </c>
    </row>
    <row r="31" spans="2:16">
      <c r="B31" s="191"/>
      <c r="C31" s="65">
        <f>IFERROR(LOOKUP(C28,价格6:价格648,翡翠100:翡翠10000),0)</f>
        <v>3000</v>
      </c>
      <c r="D31" s="26">
        <f>IFERROR(LOOKUP(D28,价格6:价格648,翡翠100:翡翠10000),0)</f>
        <v>3000</v>
      </c>
      <c r="E31" s="65">
        <f>IFERROR(LOOKUP(E28,价格6:价格648,翡翠100:翡翠10000),0)</f>
        <v>0</v>
      </c>
      <c r="F31" s="26">
        <f>IFERROR(LOOKUP(F28,价格6:价格648,翡翠100:翡翠10000),0)</f>
        <v>0</v>
      </c>
      <c r="G31" s="65">
        <f>IFERROR(LOOKUP(G28,价格6:价格648,翡翠100:翡翠10000),0)</f>
        <v>0</v>
      </c>
      <c r="H31" s="26">
        <f>IFERROR(LOOKUP(H28,价格6:价格648,翡翠100:翡翠10000),0)</f>
        <v>0</v>
      </c>
      <c r="I31" s="65">
        <f>IFERROR(LOOKUP(I28,价格6:价格648,翡翠100:翡翠10000),0)</f>
        <v>0</v>
      </c>
      <c r="J31" s="26">
        <f>IFERROR(LOOKUP(J28,价格6:价格648,翡翠100:翡翠10000),0)</f>
        <v>0</v>
      </c>
      <c r="K31" s="65">
        <f>IFERROR(LOOKUP(K28,价格6:价格648,翡翠100:翡翠10000),0)</f>
        <v>0</v>
      </c>
      <c r="L31" s="26">
        <f>IFERROR(LOOKUP(L28,价格6:价格648,翡翠100:翡翠10000),0)</f>
        <v>0</v>
      </c>
      <c r="M31" s="65">
        <f>IFERROR(LOOKUP(M28,价格6:价格648,翡翠100:翡翠10000),0)</f>
        <v>0</v>
      </c>
      <c r="N31" s="26">
        <f>IFERROR(LOOKUP(N28,价格6:价格648,翡翠100:翡翠10000),0)</f>
        <v>0</v>
      </c>
      <c r="O31" s="65">
        <f>IFERROR(LOOKUP(O28,价格6:价格648,翡翠100:翡翠10000),0)</f>
        <v>0</v>
      </c>
      <c r="P31" s="26">
        <v>0</v>
      </c>
    </row>
    <row r="32" spans="2:16" ht="16.2" thickBot="1">
      <c r="B32" s="192"/>
      <c r="C32" s="109">
        <f>IFERROR(LOOKUP(C29,价格6:价格648,翡翠100:翡翠10000),0)</f>
        <v>1000</v>
      </c>
      <c r="D32" s="17">
        <f>IFERROR(LOOKUP(D29,价格6:价格648,翡翠100:翡翠10000),0)</f>
        <v>2000</v>
      </c>
      <c r="E32" s="66"/>
      <c r="F32" s="67"/>
      <c r="G32" s="66"/>
      <c r="H32" s="67"/>
      <c r="I32" s="66"/>
      <c r="J32" s="67"/>
      <c r="K32" s="66"/>
      <c r="L32" s="67"/>
      <c r="M32" s="66"/>
      <c r="N32" s="67"/>
      <c r="O32" s="66"/>
      <c r="P32" s="67"/>
    </row>
    <row r="33" spans="2:19" ht="24.6" customHeight="1" thickTop="1">
      <c r="B33" s="191" t="s">
        <v>46</v>
      </c>
      <c r="C33" s="193" t="str">
        <f>SUM(C6,E6,G6,I6,K6,M6,O6)*钻石购买 &amp;"钻石"</f>
        <v>56000钻石</v>
      </c>
      <c r="D33" s="194"/>
      <c r="E33" s="194"/>
      <c r="F33" s="194"/>
      <c r="G33" s="194"/>
      <c r="H33" s="194"/>
      <c r="I33" s="199" t="str">
        <f>SUM(C27:P29) &amp;"元"</f>
        <v>690元</v>
      </c>
      <c r="J33" s="199"/>
      <c r="K33" s="199"/>
      <c r="L33" s="199"/>
      <c r="M33" s="200" t="str">
        <f>SUM(C30:P32) &amp; "翡翠"</f>
        <v>10500翡翠</v>
      </c>
      <c r="N33" s="200"/>
      <c r="O33" s="200"/>
      <c r="P33" s="201"/>
    </row>
    <row r="34" spans="2:19" ht="22.8" thickBot="1">
      <c r="B34" s="192"/>
      <c r="C34" s="196" t="str">
        <f>"最终收益："&amp;ROUNDDOWN(O26,0)&amp;B26&amp;"+"&amp;ROUNDDOWN(O25,0)&amp;B25</f>
        <v>最终收益：121鱼王之证+554721钓鱼积分</v>
      </c>
      <c r="D34" s="197"/>
      <c r="E34" s="197"/>
      <c r="F34" s="197"/>
      <c r="G34" s="197"/>
      <c r="H34" s="197"/>
      <c r="I34" s="197"/>
      <c r="J34" s="197"/>
      <c r="K34" s="197"/>
      <c r="L34" s="197"/>
      <c r="M34" s="197"/>
      <c r="N34" s="197"/>
      <c r="O34" s="197"/>
      <c r="P34" s="198"/>
    </row>
    <row r="35" spans="2:19" ht="16.2" thickTop="1"/>
    <row r="39" spans="2:19" ht="38.4" customHeight="1"/>
    <row r="40" spans="2:19" ht="17.7" customHeight="1">
      <c r="B40" s="27"/>
      <c r="C40" s="27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</row>
    <row r="41" spans="2:19" ht="17.7" customHeight="1">
      <c r="B41" s="27"/>
      <c r="C41" s="6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</row>
    <row r="42" spans="2:19" ht="17.7" customHeight="1">
      <c r="B42" s="27"/>
      <c r="C42" s="49"/>
      <c r="D42" s="50"/>
      <c r="E42" s="50"/>
      <c r="F42" s="50"/>
      <c r="G42" s="50"/>
      <c r="H42" s="50"/>
      <c r="I42" s="50"/>
      <c r="J42" s="50"/>
      <c r="K42" s="10"/>
      <c r="L42" s="10"/>
      <c r="M42" s="10"/>
      <c r="N42" s="10"/>
      <c r="O42" s="10"/>
      <c r="P42" s="10"/>
    </row>
    <row r="43" spans="2:19" ht="17.7" customHeight="1"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</row>
    <row r="44" spans="2:19">
      <c r="F44" s="195"/>
      <c r="G44" s="195"/>
      <c r="H44" s="195"/>
      <c r="I44" s="195"/>
      <c r="K44" s="188"/>
      <c r="L44" s="188"/>
      <c r="M44" s="188"/>
      <c r="N44" s="188"/>
      <c r="P44" s="188"/>
      <c r="Q44" s="188"/>
      <c r="R44" s="188"/>
      <c r="S44" s="188"/>
    </row>
    <row r="45" spans="2:19">
      <c r="K45" s="6"/>
      <c r="L45" s="6"/>
      <c r="M45" s="6"/>
      <c r="N45" s="6"/>
      <c r="P45" s="6"/>
      <c r="R45" s="6"/>
      <c r="S45" s="6"/>
    </row>
    <row r="46" spans="2:19">
      <c r="K46" s="6"/>
      <c r="L46" s="6"/>
      <c r="M46" s="6"/>
      <c r="N46" s="6"/>
      <c r="P46" s="6"/>
      <c r="R46" s="6"/>
      <c r="S46" s="6"/>
    </row>
    <row r="47" spans="2:19">
      <c r="K47" s="6"/>
      <c r="L47" s="6"/>
      <c r="M47" s="6"/>
      <c r="N47" s="6"/>
      <c r="P47" s="6"/>
      <c r="R47" s="6"/>
      <c r="S47" s="6"/>
    </row>
    <row r="48" spans="2:19">
      <c r="K48" s="6"/>
      <c r="L48" s="6"/>
      <c r="M48" s="6"/>
      <c r="N48" s="6"/>
      <c r="P48" s="25"/>
      <c r="R48" s="25"/>
      <c r="S48" s="6"/>
    </row>
    <row r="49" spans="2:16">
      <c r="G49" s="28"/>
      <c r="H49" s="28"/>
      <c r="I49" s="28"/>
      <c r="K49" s="6"/>
      <c r="M49" s="6"/>
      <c r="N49" s="6"/>
      <c r="O49" s="6"/>
      <c r="P49" s="6"/>
    </row>
    <row r="50" spans="2:16">
      <c r="F50" s="6"/>
      <c r="G50" s="6"/>
      <c r="H50" s="6"/>
      <c r="K50" s="6"/>
      <c r="M50" s="6"/>
      <c r="N50" s="6"/>
      <c r="O50" s="6"/>
      <c r="P50" s="6"/>
    </row>
    <row r="51" spans="2:16">
      <c r="B51" s="189"/>
      <c r="C51" s="189"/>
      <c r="D51" s="189"/>
      <c r="K51" s="188"/>
      <c r="L51" s="188"/>
      <c r="M51" s="188"/>
      <c r="N51" s="188"/>
    </row>
    <row r="52" spans="2:16">
      <c r="K52" s="6"/>
      <c r="M52" s="6"/>
      <c r="N52" s="6"/>
      <c r="P52" s="25"/>
    </row>
    <row r="53" spans="2:16">
      <c r="K53" s="6"/>
      <c r="M53" s="6"/>
      <c r="N53" s="6"/>
      <c r="P53" s="25"/>
    </row>
    <row r="54" spans="2:16">
      <c r="K54" s="6"/>
      <c r="M54" s="6"/>
      <c r="N54" s="6"/>
      <c r="P54" s="25"/>
    </row>
    <row r="55" spans="2:16">
      <c r="B55" s="189"/>
      <c r="C55" s="189"/>
      <c r="D55" s="189"/>
      <c r="K55" s="6"/>
      <c r="M55" s="6"/>
      <c r="N55" s="6"/>
      <c r="P55" s="25"/>
    </row>
    <row r="56" spans="2:16">
      <c r="K56" s="6"/>
      <c r="M56" s="6"/>
      <c r="N56" s="6"/>
      <c r="P56" s="25"/>
    </row>
    <row r="57" spans="2:16">
      <c r="K57" s="6"/>
      <c r="M57" s="6"/>
      <c r="N57" s="6"/>
      <c r="P57" s="25"/>
    </row>
    <row r="58" spans="2:16">
      <c r="K58" s="6"/>
      <c r="M58" s="6"/>
      <c r="N58" s="6"/>
      <c r="P58" s="25"/>
    </row>
    <row r="59" spans="2:16">
      <c r="K59" s="6"/>
      <c r="M59" s="6"/>
      <c r="N59" s="6"/>
      <c r="P59" s="25"/>
    </row>
    <row r="60" spans="2:16">
      <c r="P60" s="25"/>
    </row>
    <row r="61" spans="2:16">
      <c r="P61" s="25"/>
    </row>
    <row r="62" spans="2:16">
      <c r="P62" s="25"/>
    </row>
    <row r="63" spans="2:16">
      <c r="P63" s="25"/>
    </row>
    <row r="64" spans="2:16">
      <c r="P64" s="25"/>
    </row>
    <row r="65" spans="16:16">
      <c r="P65" s="25"/>
    </row>
    <row r="66" spans="16:16">
      <c r="P66" s="25"/>
    </row>
    <row r="67" spans="16:16">
      <c r="P67" s="25"/>
    </row>
    <row r="68" spans="16:16">
      <c r="P68" s="25"/>
    </row>
    <row r="69" spans="16:16">
      <c r="P69" s="25"/>
    </row>
    <row r="70" spans="16:16">
      <c r="P70" s="25"/>
    </row>
    <row r="71" spans="16:16">
      <c r="P71" s="25"/>
    </row>
    <row r="72" spans="16:16">
      <c r="P72" s="25"/>
    </row>
    <row r="73" spans="16:16">
      <c r="P73" s="25"/>
    </row>
    <row r="74" spans="16:16">
      <c r="P74" s="25"/>
    </row>
    <row r="75" spans="16:16">
      <c r="P75" s="25"/>
    </row>
  </sheetData>
  <mergeCells count="20">
    <mergeCell ref="K44:N44"/>
    <mergeCell ref="P44:S44"/>
    <mergeCell ref="B51:D51"/>
    <mergeCell ref="K51:N51"/>
    <mergeCell ref="B55:D55"/>
    <mergeCell ref="O2:P2"/>
    <mergeCell ref="B27:B29"/>
    <mergeCell ref="B30:B32"/>
    <mergeCell ref="B33:B34"/>
    <mergeCell ref="C33:H33"/>
    <mergeCell ref="I33:L33"/>
    <mergeCell ref="M33:P33"/>
    <mergeCell ref="C34:P34"/>
    <mergeCell ref="C2:D2"/>
    <mergeCell ref="E2:F2"/>
    <mergeCell ref="G2:H2"/>
    <mergeCell ref="I2:J2"/>
    <mergeCell ref="K2:L2"/>
    <mergeCell ref="M2:N2"/>
    <mergeCell ref="F44:I44"/>
  </mergeCells>
  <phoneticPr fontId="20" type="noConversion"/>
  <conditionalFormatting sqref="B6:P6">
    <cfRule type="cellIs" dxfId="6" priority="4" operator="greaterThan">
      <formula>0</formula>
    </cfRule>
  </conditionalFormatting>
  <conditionalFormatting sqref="B10:P10">
    <cfRule type="cellIs" dxfId="5" priority="1" operator="greaterThan">
      <formula>0</formula>
    </cfRule>
  </conditionalFormatting>
  <conditionalFormatting sqref="B11:P12">
    <cfRule type="cellIs" dxfId="4" priority="3" operator="greaterThan">
      <formula>0</formula>
    </cfRule>
  </conditionalFormatting>
  <conditionalFormatting sqref="C7:P7">
    <cfRule type="cellIs" dxfId="3" priority="2" operator="greaterThan">
      <formula>0</formula>
    </cfRule>
  </conditionalFormatting>
  <conditionalFormatting sqref="C13:P13">
    <cfRule type="cellIs" dxfId="2" priority="7" operator="greaterThan">
      <formula>0</formula>
    </cfRule>
  </conditionalFormatting>
  <conditionalFormatting sqref="C15:P15">
    <cfRule type="cellIs" dxfId="1" priority="5" operator="greaterThan">
      <formula>0</formula>
    </cfRule>
  </conditionalFormatting>
  <conditionalFormatting sqref="C17:P17">
    <cfRule type="cellIs" dxfId="0" priority="6" operator="greaterThan">
      <formula>0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54F8B-56CB-479D-ACB3-BCAB8B52FC0C}">
  <dimension ref="A1:U30"/>
  <sheetViews>
    <sheetView tabSelected="1" workbookViewId="0">
      <selection activeCell="L13" sqref="L13"/>
    </sheetView>
  </sheetViews>
  <sheetFormatPr defaultRowHeight="15.6"/>
  <cols>
    <col min="1" max="1" width="9.33203125" style="33" customWidth="1"/>
    <col min="2" max="2" width="8.88671875" style="33" customWidth="1"/>
    <col min="3" max="3" width="53.109375" style="33" customWidth="1"/>
    <col min="4" max="4" width="9.109375" style="33" bestFit="1" customWidth="1"/>
    <col min="5" max="7" width="11.109375" style="33" bestFit="1" customWidth="1"/>
    <col min="8" max="9" width="15.77734375" style="33" customWidth="1"/>
    <col min="10" max="10" width="16.21875" style="33" customWidth="1"/>
    <col min="11" max="11" width="17.44140625" style="33" customWidth="1"/>
    <col min="12" max="12" width="16.77734375" style="33" customWidth="1"/>
    <col min="13" max="13" width="14.109375" style="33" customWidth="1"/>
    <col min="14" max="14" width="8.88671875" style="33"/>
    <col min="15" max="15" width="17.44140625" style="33" customWidth="1"/>
    <col min="16" max="16384" width="8.88671875" style="33"/>
  </cols>
  <sheetData>
    <row r="1" spans="1:21" ht="16.2" thickBot="1"/>
    <row r="2" spans="1:21" ht="24" customHeight="1" thickTop="1" thickBot="1">
      <c r="B2" s="122" t="s">
        <v>233</v>
      </c>
      <c r="C2" s="123"/>
      <c r="D2" s="123"/>
      <c r="E2" s="123"/>
      <c r="F2" s="123"/>
      <c r="G2" s="123"/>
      <c r="H2" s="123"/>
      <c r="I2" s="124"/>
      <c r="R2" s="51"/>
    </row>
    <row r="3" spans="1:21" ht="17.55" customHeight="1" thickTop="1">
      <c r="B3" s="127" t="s">
        <v>45</v>
      </c>
      <c r="C3" s="128"/>
      <c r="D3" s="127" t="str">
        <f>"期望"&amp;普通兑换道具</f>
        <v>期望钓鱼积分</v>
      </c>
      <c r="E3" s="131"/>
      <c r="F3" s="128"/>
      <c r="G3" s="131" t="str">
        <f>"期望"&amp;高级兑换道具</f>
        <v>期望鱼王之证</v>
      </c>
      <c r="H3" s="131"/>
      <c r="I3" s="128"/>
      <c r="R3" s="51"/>
    </row>
    <row r="4" spans="1:21" ht="12.6" customHeight="1">
      <c r="B4" s="129"/>
      <c r="C4" s="130"/>
      <c r="D4" s="129"/>
      <c r="E4" s="132"/>
      <c r="F4" s="130"/>
      <c r="G4" s="132"/>
      <c r="H4" s="132"/>
      <c r="I4" s="130"/>
      <c r="R4" s="51"/>
      <c r="T4" s="52"/>
      <c r="U4" s="52"/>
    </row>
    <row r="5" spans="1:21" ht="20.85" customHeight="1" thickBot="1">
      <c r="B5" s="125" t="s">
        <v>228</v>
      </c>
      <c r="C5" s="126"/>
      <c r="D5" s="135">
        <f>'120鱼王'!O25</f>
        <v>554721.5</v>
      </c>
      <c r="E5" s="136"/>
      <c r="F5" s="137"/>
      <c r="G5" s="133">
        <f>'120鱼王'!O26</f>
        <v>121.376</v>
      </c>
      <c r="H5" s="133"/>
      <c r="I5" s="134"/>
      <c r="R5" s="51"/>
      <c r="T5" s="52"/>
      <c r="U5" s="52"/>
    </row>
    <row r="6" spans="1:21" ht="17.55" customHeight="1" thickTop="1">
      <c r="B6" s="116" t="s">
        <v>237</v>
      </c>
      <c r="C6" s="117"/>
      <c r="D6" s="117"/>
      <c r="E6" s="117"/>
      <c r="F6" s="117"/>
      <c r="G6" s="117"/>
      <c r="H6" s="117"/>
      <c r="I6" s="118"/>
      <c r="R6" s="51"/>
    </row>
    <row r="7" spans="1:21" ht="17.55" customHeight="1" thickBot="1">
      <c r="B7" s="119"/>
      <c r="C7" s="120"/>
      <c r="D7" s="120"/>
      <c r="E7" s="120"/>
      <c r="F7" s="120"/>
      <c r="G7" s="120"/>
      <c r="H7" s="120"/>
      <c r="I7" s="121"/>
      <c r="R7" s="51"/>
    </row>
    <row r="8" spans="1:21" ht="32.4" customHeight="1" thickTop="1">
      <c r="A8" s="43" t="s">
        <v>239</v>
      </c>
      <c r="B8" s="42" t="s">
        <v>35</v>
      </c>
      <c r="C8" s="43" t="s">
        <v>44</v>
      </c>
      <c r="D8" s="43" t="str">
        <f>'120鱼王'!B20</f>
        <v>目标档位</v>
      </c>
      <c r="E8" s="43" t="str">
        <f>'120鱼王'!B13</f>
        <v>使用鱼饵</v>
      </c>
      <c r="F8" s="43" t="str">
        <f>'120鱼王'!B14</f>
        <v>剩余鱼饵</v>
      </c>
      <c r="G8" s="43" t="str">
        <f>'120鱼王'!B16</f>
        <v>剩余随机箱</v>
      </c>
      <c r="H8" s="43" t="str">
        <f>"期望"&amp;普通兑换道具</f>
        <v>期望钓鱼积分</v>
      </c>
      <c r="I8" s="44" t="str">
        <f>"期望"&amp;高级兑换道具</f>
        <v>期望鱼王之证</v>
      </c>
      <c r="J8" s="44" t="s">
        <v>238</v>
      </c>
      <c r="R8" s="51"/>
    </row>
    <row r="9" spans="1:21" ht="60">
      <c r="A9" s="33" t="s">
        <v>229</v>
      </c>
      <c r="B9" s="40" t="s">
        <v>36</v>
      </c>
      <c r="C9" s="36" t="s">
        <v>235</v>
      </c>
      <c r="D9" s="36" t="str">
        <f>'120鱼王'!C20</f>
        <v>第5档</v>
      </c>
      <c r="E9" s="36">
        <f>'120鱼王'!C13</f>
        <v>700</v>
      </c>
      <c r="F9" s="36">
        <f>'120鱼王'!C14</f>
        <v>0</v>
      </c>
      <c r="G9" s="36">
        <f>'120鱼王'!C16</f>
        <v>41</v>
      </c>
      <c r="H9" s="37">
        <f>'120鱼王'!C25</f>
        <v>217761.5</v>
      </c>
      <c r="I9" s="41">
        <f>'120鱼王'!C26</f>
        <v>48.723999999999997</v>
      </c>
      <c r="J9" s="83">
        <f>'120鱼王'!D20</f>
        <v>3987.24</v>
      </c>
      <c r="R9" s="51"/>
    </row>
    <row r="10" spans="1:21" ht="39.6">
      <c r="B10" s="38" t="s">
        <v>37</v>
      </c>
      <c r="C10" s="34" t="s">
        <v>230</v>
      </c>
      <c r="D10" s="34" t="str">
        <f>'120鱼王'!E20</f>
        <v>第2档</v>
      </c>
      <c r="E10" s="34">
        <f>'120鱼王'!E13</f>
        <v>120</v>
      </c>
      <c r="F10" s="34">
        <f>'120鱼王'!E14</f>
        <v>0</v>
      </c>
      <c r="G10" s="34">
        <f>'120鱼王'!E16</f>
        <v>41</v>
      </c>
      <c r="H10" s="35">
        <f>'120鱼王'!E25</f>
        <v>273921.5</v>
      </c>
      <c r="I10" s="39">
        <f>'120鱼王'!E26</f>
        <v>52.774999999999999</v>
      </c>
      <c r="J10" s="83">
        <f>'120鱼王'!F20</f>
        <v>640.51</v>
      </c>
      <c r="R10" s="51"/>
    </row>
    <row r="11" spans="1:21" ht="39.6">
      <c r="B11" s="38" t="s">
        <v>38</v>
      </c>
      <c r="C11" s="34" t="s">
        <v>230</v>
      </c>
      <c r="D11" s="34" t="str">
        <f>'120鱼王'!G20</f>
        <v>第2档</v>
      </c>
      <c r="E11" s="35">
        <f>'120鱼王'!G13</f>
        <v>120</v>
      </c>
      <c r="F11" s="35">
        <f>'120鱼王'!G14</f>
        <v>0</v>
      </c>
      <c r="G11" s="35">
        <f>'120鱼王'!G16</f>
        <v>41</v>
      </c>
      <c r="H11" s="35">
        <f>'120鱼王'!G25</f>
        <v>330081.5</v>
      </c>
      <c r="I11" s="39">
        <f>'120鱼王'!G26</f>
        <v>56.826000000000001</v>
      </c>
      <c r="J11" s="83">
        <f>'120鱼王'!H20</f>
        <v>640.51</v>
      </c>
      <c r="R11" s="51"/>
    </row>
    <row r="12" spans="1:21" ht="39.6">
      <c r="B12" s="38" t="s">
        <v>39</v>
      </c>
      <c r="C12" s="34" t="s">
        <v>230</v>
      </c>
      <c r="D12" s="34" t="str">
        <f>'120鱼王'!I20</f>
        <v>第2档</v>
      </c>
      <c r="E12" s="35">
        <f>'120鱼王'!I13</f>
        <v>120</v>
      </c>
      <c r="F12" s="35">
        <f>'120鱼王'!I14</f>
        <v>0</v>
      </c>
      <c r="G12" s="35">
        <f>'120鱼王'!I16</f>
        <v>41</v>
      </c>
      <c r="H12" s="35">
        <f>'120鱼王'!I25</f>
        <v>382241.5</v>
      </c>
      <c r="I12" s="39">
        <f>'120鱼王'!I26</f>
        <v>60.877000000000002</v>
      </c>
      <c r="J12" s="83">
        <f>'120鱼王'!J20</f>
        <v>640.51</v>
      </c>
      <c r="R12" s="51"/>
    </row>
    <row r="13" spans="1:21" ht="39.6">
      <c r="B13" s="38" t="s">
        <v>40</v>
      </c>
      <c r="C13" s="34" t="s">
        <v>230</v>
      </c>
      <c r="D13" s="34" t="str">
        <f>'120鱼王'!K20</f>
        <v>第2档</v>
      </c>
      <c r="E13" s="34">
        <f>'120鱼王'!K13</f>
        <v>120</v>
      </c>
      <c r="F13" s="34">
        <f>'120鱼王'!K14</f>
        <v>0</v>
      </c>
      <c r="G13" s="34">
        <f>'120鱼王'!K16</f>
        <v>41</v>
      </c>
      <c r="H13" s="35">
        <f>'120鱼王'!K25</f>
        <v>442401.5</v>
      </c>
      <c r="I13" s="39">
        <f>'120鱼王'!K26</f>
        <v>64.927999999999997</v>
      </c>
      <c r="J13" s="83">
        <f>'120鱼王'!L20</f>
        <v>640.51</v>
      </c>
      <c r="R13" s="51"/>
    </row>
    <row r="14" spans="1:21" ht="39.6">
      <c r="B14" s="38" t="s">
        <v>41</v>
      </c>
      <c r="C14" s="34" t="s">
        <v>230</v>
      </c>
      <c r="D14" s="34" t="str">
        <f>'120鱼王'!M20</f>
        <v>第2档</v>
      </c>
      <c r="E14" s="34">
        <f>'120鱼王'!M13</f>
        <v>120</v>
      </c>
      <c r="F14" s="34">
        <f>'120鱼王'!M14</f>
        <v>0</v>
      </c>
      <c r="G14" s="34">
        <f>'120鱼王'!M16</f>
        <v>41</v>
      </c>
      <c r="H14" s="35">
        <f>'120鱼王'!M25</f>
        <v>498561.5</v>
      </c>
      <c r="I14" s="39">
        <f>'120鱼王'!M26</f>
        <v>68.978999999999999</v>
      </c>
      <c r="J14" s="83">
        <f>'120鱼王'!N20</f>
        <v>640.51</v>
      </c>
      <c r="R14" s="51"/>
    </row>
    <row r="15" spans="1:21" ht="40.200000000000003" thickBot="1">
      <c r="A15" s="33" t="s">
        <v>234</v>
      </c>
      <c r="B15" s="45" t="s">
        <v>42</v>
      </c>
      <c r="C15" s="47" t="s">
        <v>231</v>
      </c>
      <c r="D15" s="47" t="str">
        <f>'120鱼王'!O20</f>
        <v>第3档</v>
      </c>
      <c r="E15" s="46">
        <f>'120鱼王'!O13</f>
        <v>120</v>
      </c>
      <c r="F15" s="46">
        <f>'120鱼王'!O14</f>
        <v>0</v>
      </c>
      <c r="G15" s="46">
        <f>'120鱼王'!O16</f>
        <v>0</v>
      </c>
      <c r="H15" s="47">
        <f>'120鱼王'!O25</f>
        <v>554721.5</v>
      </c>
      <c r="I15" s="48">
        <f>'120鱼王'!O26</f>
        <v>121.376</v>
      </c>
      <c r="J15" s="83">
        <f>'120鱼王'!P20</f>
        <v>1123.97</v>
      </c>
      <c r="R15" s="51"/>
    </row>
    <row r="16" spans="1:21" ht="21" customHeight="1" thickTop="1" thickBot="1">
      <c r="B16" s="88"/>
      <c r="C16" s="89"/>
      <c r="D16" s="90"/>
      <c r="E16" s="89"/>
      <c r="F16" s="89"/>
      <c r="G16" s="89"/>
      <c r="H16" s="90"/>
      <c r="I16" s="91"/>
      <c r="R16" s="51"/>
    </row>
    <row r="17" spans="2:18" ht="18.45" customHeight="1" thickTop="1">
      <c r="B17" s="110" t="s">
        <v>43</v>
      </c>
      <c r="C17" s="111"/>
      <c r="D17" s="111"/>
      <c r="E17" s="111"/>
      <c r="F17" s="111"/>
      <c r="G17" s="111"/>
      <c r="H17" s="111"/>
      <c r="I17" s="112"/>
      <c r="R17" s="51"/>
    </row>
    <row r="18" spans="2:18" ht="66" customHeight="1" thickBot="1">
      <c r="B18" s="113" t="s">
        <v>232</v>
      </c>
      <c r="C18" s="114"/>
      <c r="D18" s="114"/>
      <c r="E18" s="114"/>
      <c r="F18" s="114"/>
      <c r="G18" s="114"/>
      <c r="H18" s="114"/>
      <c r="I18" s="115"/>
      <c r="R18" s="51"/>
    </row>
    <row r="19" spans="2:18" ht="34.5" customHeight="1" thickTop="1">
      <c r="B19" s="53" t="s">
        <v>88</v>
      </c>
      <c r="C19" s="53"/>
      <c r="D19" s="53"/>
      <c r="E19" s="53"/>
      <c r="F19" s="53"/>
      <c r="G19" s="53"/>
      <c r="H19" s="53"/>
      <c r="I19" s="53"/>
      <c r="R19" s="51"/>
    </row>
    <row r="20" spans="2:18" ht="12.9" customHeight="1">
      <c r="B20" s="53"/>
      <c r="C20" s="53"/>
      <c r="D20" s="53"/>
      <c r="E20" s="53"/>
      <c r="F20" s="53"/>
      <c r="G20" s="53"/>
      <c r="H20" s="53"/>
      <c r="I20" s="53"/>
      <c r="R20" s="51"/>
    </row>
    <row r="21" spans="2:18" ht="15.6" customHeight="1">
      <c r="R21" s="51"/>
    </row>
    <row r="22" spans="2:18" ht="16.2" customHeight="1">
      <c r="B22" s="54"/>
      <c r="C22" s="54"/>
      <c r="D22" s="54"/>
      <c r="E22" s="54"/>
      <c r="F22" s="54"/>
      <c r="G22" s="54"/>
      <c r="H22" s="54"/>
      <c r="I22" s="54"/>
      <c r="R22" s="51"/>
    </row>
    <row r="23" spans="2:18" ht="15.3" customHeight="1">
      <c r="B23" s="54"/>
      <c r="C23" s="54"/>
      <c r="D23" s="54"/>
      <c r="E23" s="54"/>
      <c r="F23" s="54"/>
      <c r="G23" s="54"/>
      <c r="H23" s="54"/>
      <c r="I23" s="54"/>
      <c r="R23" s="51"/>
    </row>
    <row r="24" spans="2:18" ht="22.95" customHeight="1">
      <c r="B24" s="54"/>
      <c r="C24" s="54"/>
      <c r="D24" s="54"/>
      <c r="E24" s="54"/>
      <c r="F24" s="54"/>
      <c r="G24" s="54"/>
      <c r="H24" s="54"/>
      <c r="I24" s="54"/>
      <c r="R24" s="51"/>
    </row>
    <row r="25" spans="2:18" ht="22.95" customHeight="1">
      <c r="N25" s="51"/>
      <c r="O25" s="51"/>
      <c r="P25" s="51"/>
      <c r="Q25" s="51"/>
      <c r="R25" s="51"/>
    </row>
    <row r="26" spans="2:18" ht="22.95" customHeight="1">
      <c r="N26" s="51"/>
      <c r="O26" s="51"/>
      <c r="P26" s="51"/>
      <c r="Q26" s="51"/>
      <c r="R26" s="51"/>
    </row>
    <row r="27" spans="2:18" ht="15.6" customHeight="1">
      <c r="N27" s="51"/>
      <c r="O27" s="51"/>
      <c r="P27" s="51"/>
      <c r="Q27" s="51"/>
      <c r="R27" s="51"/>
    </row>
    <row r="28" spans="2:18" ht="20.55" customHeight="1">
      <c r="N28" s="51"/>
      <c r="O28" s="51"/>
      <c r="P28" s="51"/>
      <c r="Q28" s="51"/>
      <c r="R28" s="51"/>
    </row>
    <row r="29" spans="2:18" ht="15.6" customHeight="1">
      <c r="N29" s="51"/>
      <c r="O29" s="51"/>
      <c r="P29" s="51"/>
      <c r="Q29" s="51"/>
      <c r="R29" s="51"/>
    </row>
    <row r="30" spans="2:18" ht="17.850000000000001" customHeight="1"/>
  </sheetData>
  <mergeCells count="10">
    <mergeCell ref="B6:I7"/>
    <mergeCell ref="B17:I17"/>
    <mergeCell ref="B18:I18"/>
    <mergeCell ref="B2:I2"/>
    <mergeCell ref="B3:C4"/>
    <mergeCell ref="D3:F4"/>
    <mergeCell ref="G3:I4"/>
    <mergeCell ref="B5:C5"/>
    <mergeCell ref="D5:F5"/>
    <mergeCell ref="G5:I5"/>
  </mergeCells>
  <phoneticPr fontId="20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命名范围</vt:lpstr>
      </vt:variant>
      <vt:variant>
        <vt:i4>27</vt:i4>
      </vt:variant>
    </vt:vector>
  </HeadingPairs>
  <TitlesOfParts>
    <vt:vector size="37" baseType="lpstr">
      <vt:lpstr>兑换列表</vt:lpstr>
      <vt:lpstr>基础计算设置</vt:lpstr>
      <vt:lpstr>垂钓盛典5.6w</vt:lpstr>
      <vt:lpstr>垂钓盛典5.6w钻攻略图</vt:lpstr>
      <vt:lpstr>1000翡翠灰烬龙</vt:lpstr>
      <vt:lpstr>1000翡翠灰烬龙攻略图</vt:lpstr>
      <vt:lpstr>垂钓盛典1.6w钻</vt:lpstr>
      <vt:lpstr>垂钓盛典1.6w钻攻略图</vt:lpstr>
      <vt:lpstr>120鱼王</vt:lpstr>
      <vt:lpstr>120鱼王攻略图</vt:lpstr>
      <vt:lpstr>抽奖道具</vt:lpstr>
      <vt:lpstr>档位积分1</vt:lpstr>
      <vt:lpstr>档位积分2</vt:lpstr>
      <vt:lpstr>档位积分3</vt:lpstr>
      <vt:lpstr>档位积分4</vt:lpstr>
      <vt:lpstr>档位积分5</vt:lpstr>
      <vt:lpstr>档位奖励1</vt:lpstr>
      <vt:lpstr>档位奖励2</vt:lpstr>
      <vt:lpstr>档位奖励3</vt:lpstr>
      <vt:lpstr>档位奖励4</vt:lpstr>
      <vt:lpstr>档位奖励5</vt:lpstr>
      <vt:lpstr>第1档</vt:lpstr>
      <vt:lpstr>第5档</vt:lpstr>
      <vt:lpstr>翡翠100</vt:lpstr>
      <vt:lpstr>翡翠10000</vt:lpstr>
      <vt:lpstr>高级兑换道具</vt:lpstr>
      <vt:lpstr>高级兑换道具抽奖期望</vt:lpstr>
      <vt:lpstr>积分规则1</vt:lpstr>
      <vt:lpstr>积分规则2</vt:lpstr>
      <vt:lpstr>积分规则3</vt:lpstr>
      <vt:lpstr>价格6</vt:lpstr>
      <vt:lpstr>价格648</vt:lpstr>
      <vt:lpstr>普通兑换道具</vt:lpstr>
      <vt:lpstr>随机箱高级道具期望</vt:lpstr>
      <vt:lpstr>随机箱积分</vt:lpstr>
      <vt:lpstr>钻石购买</vt:lpstr>
      <vt:lpstr>钻石限购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chicken tree</cp:lastModifiedBy>
  <dcterms:modified xsi:type="dcterms:W3CDTF">2026-09-17T09:10:38Z</dcterms:modified>
</cp:coreProperties>
</file>