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卡皮模拟\攻略图生成器\excel\"/>
    </mc:Choice>
  </mc:AlternateContent>
  <xr:revisionPtr revIDLastSave="0" documentId="13_ncr:1_{B3678C06-441B-454F-B705-3F1E5F08B23D}" xr6:coauthVersionLast="47" xr6:coauthVersionMax="47" xr10:uidLastSave="{00000000-0000-0000-0000-000000000000}"/>
  <bookViews>
    <workbookView xWindow="22932" yWindow="-108" windowWidth="23256" windowHeight="12456" firstSheet="1" activeTab="2" xr2:uid="{00000000-000D-0000-FFFF-FFFF00000000}"/>
  </bookViews>
  <sheets>
    <sheet name="氪金转盘" sheetId="1" r:id="rId1"/>
    <sheet name="基础计算设置" sheetId="2" r:id="rId2"/>
    <sheet name="夏日派对10.5w" sheetId="3" r:id="rId3"/>
    <sheet name="10.5w钻攻略图" sheetId="4" r:id="rId4"/>
    <sheet name="夏日派对4.5w" sheetId="6" r:id="rId5"/>
    <sheet name="4.5w钻攻略图" sheetId="7" r:id="rId6"/>
    <sheet name="夏日派对1.5w" sheetId="8" r:id="rId7"/>
    <sheet name="1.5w钻攻略图" sheetId="9" r:id="rId8"/>
    <sheet name="夏日派对10.5w+氪金" sheetId="10" r:id="rId9"/>
    <sheet name="2超越核心氪金攻略图" sheetId="11" r:id="rId10"/>
  </sheets>
  <definedNames>
    <definedName name="抽奖道具">基础计算设置!$B$1</definedName>
    <definedName name="抽奖积分">基础计算设置!$I$5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>基础计算设置!$B$10</definedName>
    <definedName name="档位奖励1">基础计算设置!$C$6</definedName>
    <definedName name="档位奖励2">基础计算设置!$C$7</definedName>
    <definedName name="档位奖励3">基础计算设置!$C$8</definedName>
    <definedName name="档位奖励4">基础计算设置!$C$9</definedName>
    <definedName name="档位奖励5">基础计算设置!$C$10</definedName>
    <definedName name="第1档">基础计算设置!$A$6</definedName>
    <definedName name="第5档">基础计算设置!$A$10</definedName>
    <definedName name="翡翠100">基础计算设置!$B$28</definedName>
    <definedName name="翡翠10000">基础计算设置!$B$35</definedName>
    <definedName name="高级兑换道具">基础计算设置!$B$3</definedName>
    <definedName name="积分规则1">基础计算设置!$B$13</definedName>
    <definedName name="积分规则2">基础计算设置!$B$14</definedName>
    <definedName name="价格6">基础计算设置!$A$28</definedName>
    <definedName name="价格648">基础计算设置!$A$35</definedName>
    <definedName name="普通兑换道具">基础计算设置!$B$2</definedName>
    <definedName name="实测高级道具">基础计算设置!$W$3</definedName>
    <definedName name="实测普通道具">基础计算设置!$V$3</definedName>
    <definedName name="随机箱高级道具">基础计算设置!$C$25</definedName>
    <definedName name="随机箱积分">基础计算设置!$D$25</definedName>
    <definedName name="钻石购买">基础计算设置!$B$17</definedName>
    <definedName name="钻石限购">基础计算设置!$B$18</definedName>
  </definedNames>
  <calcPr calcId="181029"/>
</workbook>
</file>

<file path=xl/calcChain.xml><?xml version="1.0" encoding="utf-8"?>
<calcChain xmlns="http://schemas.openxmlformats.org/spreadsheetml/2006/main">
  <c r="T38" i="2" l="1"/>
  <c r="U38" i="2"/>
  <c r="T37" i="2"/>
  <c r="U37" i="2"/>
  <c r="T36" i="2"/>
  <c r="U36" i="2"/>
  <c r="T35" i="2"/>
  <c r="U35" i="2"/>
  <c r="T34" i="2"/>
  <c r="U34" i="2"/>
  <c r="T33" i="2"/>
  <c r="U33" i="2"/>
  <c r="T32" i="2"/>
  <c r="U32" i="2"/>
  <c r="T31" i="2"/>
  <c r="U31" i="2"/>
  <c r="W3" i="2"/>
  <c r="Y3" i="2"/>
  <c r="X3" i="2"/>
  <c r="Y23" i="2"/>
  <c r="X23" i="2"/>
  <c r="T15" i="2"/>
  <c r="U15" i="2"/>
  <c r="T7" i="2"/>
  <c r="U7" i="2"/>
  <c r="T30" i="2"/>
  <c r="U30" i="2"/>
  <c r="T26" i="2"/>
  <c r="U26" i="2"/>
  <c r="T29" i="2"/>
  <c r="U29" i="2"/>
  <c r="T25" i="2"/>
  <c r="U25" i="2"/>
  <c r="T27" i="2"/>
  <c r="U27" i="2"/>
  <c r="T28" i="2"/>
  <c r="U28" i="2"/>
  <c r="W23" i="2" s="1"/>
  <c r="T24" i="2"/>
  <c r="U24" i="2"/>
  <c r="U23" i="2"/>
  <c r="T23" i="2"/>
  <c r="W22" i="2"/>
  <c r="V22" i="2"/>
  <c r="R22" i="2"/>
  <c r="Q22" i="2"/>
  <c r="D11" i="4"/>
  <c r="C20" i="3"/>
  <c r="C13" i="3" s="1"/>
  <c r="E13" i="3" s="1"/>
  <c r="G13" i="3" s="1"/>
  <c r="I13" i="3" s="1"/>
  <c r="K13" i="3" s="1"/>
  <c r="M13" i="3" s="1"/>
  <c r="O13" i="3" s="1"/>
  <c r="B20" i="3"/>
  <c r="P11" i="3"/>
  <c r="P10" i="3"/>
  <c r="P9" i="3"/>
  <c r="P8" i="3"/>
  <c r="P7" i="3"/>
  <c r="N11" i="3"/>
  <c r="N10" i="3"/>
  <c r="N9" i="3"/>
  <c r="N8" i="3"/>
  <c r="N7" i="3"/>
  <c r="L11" i="3"/>
  <c r="L10" i="3"/>
  <c r="L9" i="3"/>
  <c r="L8" i="3"/>
  <c r="L7" i="3"/>
  <c r="J11" i="3"/>
  <c r="J10" i="3"/>
  <c r="J9" i="3"/>
  <c r="J8" i="3"/>
  <c r="J7" i="3"/>
  <c r="H11" i="3"/>
  <c r="H10" i="3"/>
  <c r="H9" i="3"/>
  <c r="H8" i="3"/>
  <c r="H7" i="3"/>
  <c r="F10" i="3"/>
  <c r="F11" i="3"/>
  <c r="D10" i="3"/>
  <c r="D11" i="3"/>
  <c r="B12" i="3"/>
  <c r="B13" i="3"/>
  <c r="D14" i="3"/>
  <c r="F14" i="3"/>
  <c r="H14" i="3"/>
  <c r="J14" i="3"/>
  <c r="L14" i="3"/>
  <c r="N14" i="3"/>
  <c r="P14" i="3"/>
  <c r="P6" i="3"/>
  <c r="P5" i="3"/>
  <c r="P4" i="3"/>
  <c r="N6" i="3"/>
  <c r="N5" i="3"/>
  <c r="N4" i="3"/>
  <c r="L6" i="3"/>
  <c r="L5" i="3"/>
  <c r="L4" i="3"/>
  <c r="F7" i="3"/>
  <c r="F8" i="3"/>
  <c r="F9" i="3"/>
  <c r="D7" i="3"/>
  <c r="D8" i="3"/>
  <c r="D9" i="3"/>
  <c r="C30" i="3"/>
  <c r="I30" i="3"/>
  <c r="O28" i="3"/>
  <c r="P27" i="3"/>
  <c r="O27" i="3"/>
  <c r="N28" i="3"/>
  <c r="M28" i="3"/>
  <c r="N27" i="3"/>
  <c r="M27" i="3"/>
  <c r="L28" i="3"/>
  <c r="K28" i="3"/>
  <c r="L27" i="3"/>
  <c r="K27" i="3"/>
  <c r="J28" i="3"/>
  <c r="I28" i="3"/>
  <c r="J27" i="3"/>
  <c r="I27" i="3"/>
  <c r="H28" i="3"/>
  <c r="G28" i="3"/>
  <c r="H27" i="3"/>
  <c r="G27" i="3"/>
  <c r="F28" i="3"/>
  <c r="E28" i="3"/>
  <c r="F27" i="3"/>
  <c r="E27" i="3"/>
  <c r="D28" i="3"/>
  <c r="C28" i="3"/>
  <c r="D27" i="3"/>
  <c r="C27" i="3"/>
  <c r="V23" i="2" l="1"/>
  <c r="E20" i="3"/>
  <c r="G20" i="3" s="1"/>
  <c r="I20" i="3" s="1"/>
  <c r="K20" i="3" s="1"/>
  <c r="M20" i="3" s="1"/>
  <c r="O20" i="3" s="1"/>
  <c r="M30" i="3"/>
  <c r="B6" i="4" s="1"/>
  <c r="G11" i="11" l="1"/>
  <c r="G11" i="9"/>
  <c r="G11" i="7"/>
  <c r="G11" i="4"/>
  <c r="N13" i="10"/>
  <c r="L13" i="10"/>
  <c r="J13" i="10"/>
  <c r="H13" i="10"/>
  <c r="F13" i="10"/>
  <c r="D13" i="10"/>
  <c r="B13" i="10"/>
  <c r="O6" i="10"/>
  <c r="M6" i="10"/>
  <c r="K6" i="10"/>
  <c r="I6" i="10"/>
  <c r="G6" i="10"/>
  <c r="E6" i="10"/>
  <c r="C6" i="10"/>
  <c r="E18" i="11"/>
  <c r="E17" i="11"/>
  <c r="E16" i="11"/>
  <c r="E15" i="11"/>
  <c r="E14" i="11"/>
  <c r="E13" i="11"/>
  <c r="E12" i="11"/>
  <c r="I11" i="11"/>
  <c r="H11" i="11"/>
  <c r="D11" i="11"/>
  <c r="G4" i="11"/>
  <c r="D4" i="11"/>
  <c r="B19" i="10"/>
  <c r="A16" i="10"/>
  <c r="A15" i="10"/>
  <c r="B9" i="10"/>
  <c r="A13" i="10"/>
  <c r="A9" i="10"/>
  <c r="F11" i="11" s="1"/>
  <c r="A8" i="10"/>
  <c r="E11" i="11" s="1"/>
  <c r="O7" i="10"/>
  <c r="M7" i="10"/>
  <c r="K7" i="10"/>
  <c r="I7" i="10"/>
  <c r="G7" i="10"/>
  <c r="E7" i="10"/>
  <c r="C7" i="10"/>
  <c r="O5" i="10"/>
  <c r="M5" i="10"/>
  <c r="K5" i="10"/>
  <c r="I5" i="10"/>
  <c r="G5" i="10"/>
  <c r="E5" i="10"/>
  <c r="C5" i="10"/>
  <c r="O4" i="10"/>
  <c r="M4" i="10"/>
  <c r="K4" i="10"/>
  <c r="I4" i="10"/>
  <c r="G4" i="10"/>
  <c r="E4" i="10"/>
  <c r="C4" i="10"/>
  <c r="O3" i="10"/>
  <c r="M3" i="10"/>
  <c r="K3" i="10"/>
  <c r="I3" i="10"/>
  <c r="G3" i="10"/>
  <c r="E3" i="10"/>
  <c r="C3" i="10"/>
  <c r="N2" i="10"/>
  <c r="L2" i="10"/>
  <c r="J2" i="10"/>
  <c r="H2" i="10"/>
  <c r="F2" i="10"/>
  <c r="D2" i="10"/>
  <c r="B2" i="10"/>
  <c r="B12" i="8"/>
  <c r="B12" i="6"/>
  <c r="B8" i="6" s="1"/>
  <c r="E18" i="9"/>
  <c r="E17" i="9"/>
  <c r="E16" i="9"/>
  <c r="E15" i="9"/>
  <c r="E14" i="9"/>
  <c r="E13" i="9"/>
  <c r="E12" i="9"/>
  <c r="I11" i="9"/>
  <c r="H11" i="9"/>
  <c r="E11" i="9"/>
  <c r="D11" i="9"/>
  <c r="G4" i="9"/>
  <c r="D4" i="9"/>
  <c r="B17" i="8"/>
  <c r="B6" i="9" s="1"/>
  <c r="A15" i="8"/>
  <c r="A14" i="8"/>
  <c r="A12" i="8"/>
  <c r="A8" i="8"/>
  <c r="F11" i="9" s="1"/>
  <c r="A7" i="8"/>
  <c r="O6" i="8"/>
  <c r="M6" i="8"/>
  <c r="K6" i="8"/>
  <c r="I6" i="8"/>
  <c r="G6" i="8"/>
  <c r="E6" i="8"/>
  <c r="C6" i="8"/>
  <c r="O5" i="8"/>
  <c r="M5" i="8"/>
  <c r="K5" i="8"/>
  <c r="I5" i="8"/>
  <c r="G5" i="8"/>
  <c r="E5" i="8"/>
  <c r="C5" i="8"/>
  <c r="O4" i="8"/>
  <c r="M4" i="8"/>
  <c r="K4" i="8"/>
  <c r="I4" i="8"/>
  <c r="G4" i="8"/>
  <c r="E4" i="8"/>
  <c r="C4" i="8"/>
  <c r="O3" i="8"/>
  <c r="M3" i="8"/>
  <c r="K3" i="8"/>
  <c r="I3" i="8"/>
  <c r="G3" i="8"/>
  <c r="E3" i="8"/>
  <c r="C3" i="8"/>
  <c r="N2" i="8"/>
  <c r="L2" i="8"/>
  <c r="J2" i="8"/>
  <c r="H2" i="8"/>
  <c r="F2" i="8"/>
  <c r="D2" i="8"/>
  <c r="B2" i="8"/>
  <c r="E18" i="7"/>
  <c r="E17" i="7"/>
  <c r="E16" i="7"/>
  <c r="E15" i="7"/>
  <c r="E14" i="7"/>
  <c r="E13" i="7"/>
  <c r="E12" i="7"/>
  <c r="I11" i="7"/>
  <c r="H11" i="7"/>
  <c r="D11" i="7"/>
  <c r="G4" i="7"/>
  <c r="D4" i="7"/>
  <c r="B17" i="6"/>
  <c r="B6" i="7" s="1"/>
  <c r="A15" i="6"/>
  <c r="A14" i="6"/>
  <c r="A12" i="6"/>
  <c r="A8" i="6"/>
  <c r="F11" i="7" s="1"/>
  <c r="A7" i="6"/>
  <c r="E11" i="7" s="1"/>
  <c r="O6" i="6"/>
  <c r="M6" i="6"/>
  <c r="K6" i="6"/>
  <c r="I6" i="6"/>
  <c r="G6" i="6"/>
  <c r="E6" i="6"/>
  <c r="C6" i="6"/>
  <c r="O5" i="6"/>
  <c r="M5" i="6"/>
  <c r="K5" i="6"/>
  <c r="I5" i="6"/>
  <c r="G5" i="6"/>
  <c r="E5" i="6"/>
  <c r="C5" i="6"/>
  <c r="O4" i="6"/>
  <c r="M4" i="6"/>
  <c r="K4" i="6"/>
  <c r="I4" i="6"/>
  <c r="G4" i="6"/>
  <c r="E4" i="6"/>
  <c r="C4" i="6"/>
  <c r="O3" i="6"/>
  <c r="M3" i="6"/>
  <c r="K3" i="6"/>
  <c r="I3" i="6"/>
  <c r="G3" i="6"/>
  <c r="E3" i="6"/>
  <c r="C3" i="6"/>
  <c r="N2" i="6"/>
  <c r="L2" i="6"/>
  <c r="J2" i="6"/>
  <c r="H2" i="6"/>
  <c r="F2" i="6"/>
  <c r="D2" i="6"/>
  <c r="B2" i="6"/>
  <c r="I11" i="4"/>
  <c r="H11" i="4"/>
  <c r="G4" i="4"/>
  <c r="D4" i="4"/>
  <c r="E18" i="4"/>
  <c r="E17" i="4"/>
  <c r="E16" i="4"/>
  <c r="E15" i="4"/>
  <c r="E14" i="4"/>
  <c r="E13" i="4"/>
  <c r="E12" i="4"/>
  <c r="B23" i="3"/>
  <c r="B22" i="3"/>
  <c r="F11" i="4"/>
  <c r="E11" i="4"/>
  <c r="P16" i="3"/>
  <c r="N16" i="3"/>
  <c r="L16" i="3"/>
  <c r="J16" i="3"/>
  <c r="H16" i="3"/>
  <c r="F16" i="3"/>
  <c r="D16" i="3"/>
  <c r="J6" i="3"/>
  <c r="H6" i="3"/>
  <c r="F6" i="3"/>
  <c r="D6" i="3"/>
  <c r="J5" i="3"/>
  <c r="H5" i="3"/>
  <c r="F5" i="3"/>
  <c r="D5" i="3"/>
  <c r="J4" i="3"/>
  <c r="H4" i="3"/>
  <c r="F4" i="3"/>
  <c r="D4" i="3"/>
  <c r="O3" i="3"/>
  <c r="M3" i="3"/>
  <c r="K3" i="3"/>
  <c r="I3" i="3"/>
  <c r="G3" i="3"/>
  <c r="E3" i="3"/>
  <c r="C3" i="3"/>
  <c r="D24" i="2"/>
  <c r="C24" i="2"/>
  <c r="C23" i="2"/>
  <c r="D23" i="2" s="1"/>
  <c r="C22" i="2"/>
  <c r="D22" i="2" s="1"/>
  <c r="U18" i="2"/>
  <c r="T18" i="2"/>
  <c r="U17" i="2"/>
  <c r="T17" i="2"/>
  <c r="U16" i="2"/>
  <c r="T16" i="2"/>
  <c r="U14" i="2"/>
  <c r="T14" i="2"/>
  <c r="U13" i="2"/>
  <c r="T13" i="2"/>
  <c r="U12" i="2"/>
  <c r="T12" i="2"/>
  <c r="V3" i="2" s="1"/>
  <c r="B14" i="6" s="1"/>
  <c r="U11" i="2"/>
  <c r="T11" i="2"/>
  <c r="U10" i="2"/>
  <c r="T10" i="2"/>
  <c r="C10" i="2"/>
  <c r="U9" i="2"/>
  <c r="T9" i="2"/>
  <c r="U8" i="2"/>
  <c r="T8" i="2"/>
  <c r="O7" i="2"/>
  <c r="U6" i="2"/>
  <c r="T6" i="2"/>
  <c r="O6" i="2"/>
  <c r="L8" i="2" s="1"/>
  <c r="U5" i="2"/>
  <c r="T5" i="2"/>
  <c r="O5" i="2"/>
  <c r="U4" i="2"/>
  <c r="T4" i="2"/>
  <c r="O4" i="2"/>
  <c r="I4" i="2"/>
  <c r="I5" i="2" s="1"/>
  <c r="U3" i="2"/>
  <c r="T3" i="2"/>
  <c r="O3" i="2"/>
  <c r="I3" i="2"/>
  <c r="W2" i="2"/>
  <c r="V2" i="2"/>
  <c r="R2" i="2"/>
  <c r="Q2" i="2"/>
  <c r="E13" i="1"/>
  <c r="D13" i="1"/>
  <c r="C13" i="1"/>
  <c r="F11" i="1"/>
  <c r="F10" i="1"/>
  <c r="B10" i="1"/>
  <c r="F9" i="1"/>
  <c r="B9" i="1"/>
  <c r="F8" i="1"/>
  <c r="B8" i="1"/>
  <c r="B13" i="1" s="1"/>
  <c r="F7" i="1"/>
  <c r="F6" i="1"/>
  <c r="F5" i="1"/>
  <c r="B14" i="8" l="1"/>
  <c r="I12" i="9" s="1"/>
  <c r="B15" i="10"/>
  <c r="H12" i="11" s="1"/>
  <c r="D14" i="6"/>
  <c r="H13" i="7" s="1"/>
  <c r="D9" i="10"/>
  <c r="F9" i="10" s="1"/>
  <c r="F12" i="11"/>
  <c r="D14" i="8"/>
  <c r="F14" i="8" s="1"/>
  <c r="H14" i="9" s="1"/>
  <c r="B8" i="8"/>
  <c r="D8" i="6"/>
  <c r="F12" i="7"/>
  <c r="D12" i="6"/>
  <c r="I12" i="7"/>
  <c r="C22" i="3"/>
  <c r="H12" i="4" s="1"/>
  <c r="C25" i="2"/>
  <c r="D25" i="2" s="1"/>
  <c r="F14" i="6" l="1"/>
  <c r="H14" i="7" s="1"/>
  <c r="D15" i="10"/>
  <c r="F15" i="10" s="1"/>
  <c r="H14" i="11" s="1"/>
  <c r="J12" i="3"/>
  <c r="J19" i="3" s="1"/>
  <c r="L12" i="3"/>
  <c r="L19" i="3" s="1"/>
  <c r="N12" i="3"/>
  <c r="N19" i="3" s="1"/>
  <c r="P12" i="3"/>
  <c r="P19" i="3" s="1"/>
  <c r="H12" i="3"/>
  <c r="H19" i="3" s="1"/>
  <c r="D12" i="3"/>
  <c r="D19" i="3" s="1"/>
  <c r="F12" i="3"/>
  <c r="F19" i="3" s="1"/>
  <c r="B15" i="6"/>
  <c r="H12" i="7" s="1"/>
  <c r="M7" i="8"/>
  <c r="I7" i="6"/>
  <c r="K7" i="6"/>
  <c r="O8" i="10"/>
  <c r="K7" i="8"/>
  <c r="G7" i="6"/>
  <c r="M8" i="10"/>
  <c r="C12" i="6"/>
  <c r="I7" i="8"/>
  <c r="E7" i="6"/>
  <c r="K8" i="10"/>
  <c r="G7" i="8"/>
  <c r="C7" i="6"/>
  <c r="C13" i="10"/>
  <c r="G8" i="10"/>
  <c r="C7" i="8"/>
  <c r="I8" i="10"/>
  <c r="B15" i="8"/>
  <c r="D20" i="3"/>
  <c r="E7" i="8"/>
  <c r="O7" i="6"/>
  <c r="O7" i="8"/>
  <c r="B16" i="10"/>
  <c r="I12" i="11" s="1"/>
  <c r="E8" i="10"/>
  <c r="C12" i="8"/>
  <c r="M7" i="6"/>
  <c r="C8" i="10"/>
  <c r="F13" i="11"/>
  <c r="F14" i="11"/>
  <c r="H9" i="10"/>
  <c r="I10" i="10"/>
  <c r="C10" i="10"/>
  <c r="O10" i="10"/>
  <c r="M10" i="10"/>
  <c r="K10" i="10"/>
  <c r="K12" i="10" s="1"/>
  <c r="G10" i="10"/>
  <c r="E10" i="10"/>
  <c r="H14" i="8"/>
  <c r="J14" i="8" s="1"/>
  <c r="H13" i="9"/>
  <c r="D8" i="8"/>
  <c r="F13" i="9" s="1"/>
  <c r="D12" i="8"/>
  <c r="E12" i="8" s="1"/>
  <c r="F12" i="9"/>
  <c r="K9" i="8"/>
  <c r="I9" i="8"/>
  <c r="G9" i="8"/>
  <c r="E9" i="8"/>
  <c r="C9" i="8"/>
  <c r="M9" i="8"/>
  <c r="O9" i="8"/>
  <c r="K9" i="6"/>
  <c r="I9" i="6"/>
  <c r="G9" i="6"/>
  <c r="M9" i="6"/>
  <c r="E9" i="6"/>
  <c r="E11" i="6" s="1"/>
  <c r="C9" i="6"/>
  <c r="O9" i="6"/>
  <c r="F12" i="6"/>
  <c r="E12" i="6"/>
  <c r="F13" i="7"/>
  <c r="F8" i="6"/>
  <c r="H14" i="6"/>
  <c r="H15" i="7" s="1"/>
  <c r="C23" i="3"/>
  <c r="I12" i="4" s="1"/>
  <c r="E22" i="3"/>
  <c r="H13" i="4" s="1"/>
  <c r="G12" i="10" l="1"/>
  <c r="F12" i="10" s="1"/>
  <c r="F17" i="10" s="1"/>
  <c r="D14" i="11" s="1"/>
  <c r="K11" i="6"/>
  <c r="J11" i="6" s="1"/>
  <c r="J16" i="6" s="1"/>
  <c r="D16" i="7" s="1"/>
  <c r="M11" i="6"/>
  <c r="K11" i="8"/>
  <c r="J11" i="8" s="1"/>
  <c r="J16" i="8" s="1"/>
  <c r="D16" i="9" s="1"/>
  <c r="G11" i="6"/>
  <c r="F11" i="6" s="1"/>
  <c r="F16" i="6" s="1"/>
  <c r="D14" i="7" s="1"/>
  <c r="O11" i="8"/>
  <c r="N11" i="8" s="1"/>
  <c r="N16" i="8" s="1"/>
  <c r="D18" i="9" s="1"/>
  <c r="O11" i="6"/>
  <c r="N11" i="6" s="1"/>
  <c r="N16" i="6" s="1"/>
  <c r="D18" i="7" s="1"/>
  <c r="C11" i="6"/>
  <c r="B13" i="6" s="1"/>
  <c r="C13" i="6" s="1"/>
  <c r="H15" i="10"/>
  <c r="J15" i="10" s="1"/>
  <c r="L15" i="10" s="1"/>
  <c r="M12" i="10"/>
  <c r="I11" i="8"/>
  <c r="H11" i="8" s="1"/>
  <c r="H16" i="8" s="1"/>
  <c r="D15" i="9" s="1"/>
  <c r="H13" i="11"/>
  <c r="D15" i="6"/>
  <c r="I13" i="7" s="1"/>
  <c r="M11" i="8"/>
  <c r="L11" i="8" s="1"/>
  <c r="L16" i="8" s="1"/>
  <c r="D17" i="9" s="1"/>
  <c r="E12" i="10"/>
  <c r="D12" i="10" s="1"/>
  <c r="D17" i="10" s="1"/>
  <c r="D13" i="11" s="1"/>
  <c r="C11" i="8"/>
  <c r="B11" i="8" s="1"/>
  <c r="B16" i="8" s="1"/>
  <c r="I12" i="10"/>
  <c r="H12" i="10" s="1"/>
  <c r="H17" i="10" s="1"/>
  <c r="D15" i="11" s="1"/>
  <c r="E11" i="8"/>
  <c r="D11" i="8" s="1"/>
  <c r="D16" i="8" s="1"/>
  <c r="D13" i="9" s="1"/>
  <c r="I11" i="6"/>
  <c r="H11" i="6" s="1"/>
  <c r="H16" i="6" s="1"/>
  <c r="D15" i="7" s="1"/>
  <c r="G11" i="8"/>
  <c r="F11" i="8" s="1"/>
  <c r="F16" i="8" s="1"/>
  <c r="D14" i="9" s="1"/>
  <c r="O12" i="10"/>
  <c r="N12" i="10" s="1"/>
  <c r="N17" i="10" s="1"/>
  <c r="D18" i="11" s="1"/>
  <c r="D16" i="10"/>
  <c r="C12" i="10"/>
  <c r="B12" i="10" s="1"/>
  <c r="B17" i="10" s="1"/>
  <c r="D12" i="11" s="1"/>
  <c r="H15" i="11"/>
  <c r="L12" i="10"/>
  <c r="L17" i="10" s="1"/>
  <c r="D17" i="11" s="1"/>
  <c r="J9" i="10"/>
  <c r="F15" i="11"/>
  <c r="J12" i="10"/>
  <c r="J17" i="10" s="1"/>
  <c r="D16" i="11" s="1"/>
  <c r="H15" i="9"/>
  <c r="F8" i="8"/>
  <c r="D15" i="8"/>
  <c r="H12" i="9"/>
  <c r="F12" i="8"/>
  <c r="G12" i="8" s="1"/>
  <c r="L14" i="8"/>
  <c r="H16" i="9"/>
  <c r="H8" i="8"/>
  <c r="F14" i="9"/>
  <c r="J14" i="6"/>
  <c r="H16" i="7" s="1"/>
  <c r="D11" i="6"/>
  <c r="D16" i="6" s="1"/>
  <c r="D13" i="7" s="1"/>
  <c r="E23" i="3"/>
  <c r="I13" i="4" s="1"/>
  <c r="L11" i="6"/>
  <c r="L16" i="6" s="1"/>
  <c r="D17" i="7" s="1"/>
  <c r="H8" i="6"/>
  <c r="F14" i="7"/>
  <c r="H12" i="6"/>
  <c r="G12" i="6"/>
  <c r="O19" i="3"/>
  <c r="D18" i="4" s="1"/>
  <c r="G19" i="3"/>
  <c r="D14" i="4" s="1"/>
  <c r="K19" i="3"/>
  <c r="D16" i="4" s="1"/>
  <c r="I19" i="3"/>
  <c r="D15" i="4" s="1"/>
  <c r="M19" i="3"/>
  <c r="D17" i="4" s="1"/>
  <c r="G22" i="3"/>
  <c r="H14" i="4" s="1"/>
  <c r="F15" i="6" l="1"/>
  <c r="I14" i="7" s="1"/>
  <c r="B11" i="6"/>
  <c r="B16" i="6" s="1"/>
  <c r="D12" i="7" s="1"/>
  <c r="B13" i="8"/>
  <c r="C13" i="8" s="1"/>
  <c r="H16" i="11"/>
  <c r="B14" i="10"/>
  <c r="D14" i="10" s="1"/>
  <c r="F14" i="10" s="1"/>
  <c r="H14" i="10" s="1"/>
  <c r="J14" i="10" s="1"/>
  <c r="J11" i="10" s="1"/>
  <c r="G16" i="11" s="1"/>
  <c r="F16" i="10"/>
  <c r="I13" i="11"/>
  <c r="D13" i="6"/>
  <c r="E13" i="6" s="1"/>
  <c r="H17" i="11"/>
  <c r="N15" i="10"/>
  <c r="F16" i="11"/>
  <c r="L9" i="10"/>
  <c r="N9" i="10" s="1"/>
  <c r="D12" i="9"/>
  <c r="H12" i="8"/>
  <c r="J12" i="8" s="1"/>
  <c r="F15" i="8"/>
  <c r="I13" i="9"/>
  <c r="J8" i="8"/>
  <c r="F15" i="9"/>
  <c r="N14" i="8"/>
  <c r="H17" i="9"/>
  <c r="J8" i="6"/>
  <c r="F15" i="7"/>
  <c r="L14" i="6"/>
  <c r="H17" i="7" s="1"/>
  <c r="B10" i="6"/>
  <c r="G12" i="7" s="1"/>
  <c r="J12" i="6"/>
  <c r="I12" i="6"/>
  <c r="G23" i="3"/>
  <c r="I14" i="4" s="1"/>
  <c r="I22" i="3"/>
  <c r="H15" i="4" s="1"/>
  <c r="E19" i="3"/>
  <c r="D13" i="4" s="1"/>
  <c r="C19" i="3"/>
  <c r="D12" i="4" s="1"/>
  <c r="C21" i="3"/>
  <c r="H15" i="6" l="1"/>
  <c r="I15" i="7" s="1"/>
  <c r="B10" i="8"/>
  <c r="G12" i="9" s="1"/>
  <c r="D13" i="8"/>
  <c r="D10" i="8" s="1"/>
  <c r="G13" i="9" s="1"/>
  <c r="F13" i="6"/>
  <c r="G13" i="6" s="1"/>
  <c r="K14" i="10"/>
  <c r="D11" i="10"/>
  <c r="G13" i="11" s="1"/>
  <c r="F11" i="10"/>
  <c r="G14" i="11" s="1"/>
  <c r="E14" i="10"/>
  <c r="L14" i="10"/>
  <c r="M14" i="10" s="1"/>
  <c r="G14" i="10"/>
  <c r="C14" i="10"/>
  <c r="H11" i="10"/>
  <c r="G15" i="11" s="1"/>
  <c r="B11" i="10"/>
  <c r="G12" i="11" s="1"/>
  <c r="I14" i="10"/>
  <c r="I14" i="11"/>
  <c r="H16" i="10"/>
  <c r="D10" i="6"/>
  <c r="G13" i="7" s="1"/>
  <c r="D21" i="3"/>
  <c r="C15" i="3"/>
  <c r="G12" i="4" s="1"/>
  <c r="F18" i="11"/>
  <c r="F17" i="11"/>
  <c r="H18" i="11"/>
  <c r="D6" i="11"/>
  <c r="I12" i="8"/>
  <c r="I14" i="9"/>
  <c r="H15" i="8"/>
  <c r="K12" i="8"/>
  <c r="L12" i="8"/>
  <c r="H18" i="9"/>
  <c r="D6" i="9"/>
  <c r="F16" i="9"/>
  <c r="L8" i="8"/>
  <c r="I23" i="3"/>
  <c r="I15" i="4" s="1"/>
  <c r="F16" i="7"/>
  <c r="L8" i="6"/>
  <c r="K12" i="6"/>
  <c r="L12" i="6"/>
  <c r="N14" i="6"/>
  <c r="H18" i="7" s="1"/>
  <c r="E21" i="3"/>
  <c r="E15" i="3" s="1"/>
  <c r="K22" i="3"/>
  <c r="H16" i="4" s="1"/>
  <c r="F10" i="6" l="1"/>
  <c r="G14" i="7" s="1"/>
  <c r="J15" i="6"/>
  <c r="L15" i="6" s="1"/>
  <c r="F13" i="8"/>
  <c r="H13" i="8" s="1"/>
  <c r="H13" i="6"/>
  <c r="H10" i="6" s="1"/>
  <c r="G15" i="7" s="1"/>
  <c r="E13" i="8"/>
  <c r="N14" i="10"/>
  <c r="N11" i="10" s="1"/>
  <c r="G18" i="11" s="1"/>
  <c r="L11" i="10"/>
  <c r="G17" i="11" s="1"/>
  <c r="J16" i="10"/>
  <c r="I15" i="11"/>
  <c r="J15" i="8"/>
  <c r="I15" i="9"/>
  <c r="F17" i="9"/>
  <c r="N8" i="8"/>
  <c r="F18" i="9" s="1"/>
  <c r="F10" i="8"/>
  <c r="G14" i="9" s="1"/>
  <c r="G13" i="8"/>
  <c r="N12" i="8"/>
  <c r="O12" i="8" s="1"/>
  <c r="M12" i="8"/>
  <c r="D6" i="7"/>
  <c r="F17" i="7"/>
  <c r="N8" i="6"/>
  <c r="F18" i="7" s="1"/>
  <c r="N12" i="6"/>
  <c r="O12" i="6" s="1"/>
  <c r="M12" i="6"/>
  <c r="K23" i="3"/>
  <c r="I16" i="4" s="1"/>
  <c r="M22" i="3"/>
  <c r="G13" i="4"/>
  <c r="F21" i="3"/>
  <c r="G21" i="3"/>
  <c r="G15" i="3" s="1"/>
  <c r="J13" i="6" l="1"/>
  <c r="L13" i="6" s="1"/>
  <c r="I16" i="7"/>
  <c r="I13" i="6"/>
  <c r="O14" i="10"/>
  <c r="L16" i="10"/>
  <c r="I16" i="11"/>
  <c r="I17" i="7"/>
  <c r="N15" i="6"/>
  <c r="I16" i="9"/>
  <c r="L15" i="8"/>
  <c r="H10" i="8"/>
  <c r="G15" i="9" s="1"/>
  <c r="I13" i="8"/>
  <c r="J13" i="8"/>
  <c r="O22" i="3"/>
  <c r="H17" i="4"/>
  <c r="M23" i="3"/>
  <c r="I17" i="4" s="1"/>
  <c r="G14" i="4"/>
  <c r="H21" i="3"/>
  <c r="I21" i="3"/>
  <c r="I15" i="3" s="1"/>
  <c r="K13" i="6" l="1"/>
  <c r="J10" i="6"/>
  <c r="G16" i="7" s="1"/>
  <c r="I18" i="7"/>
  <c r="G6" i="7"/>
  <c r="B18" i="6"/>
  <c r="N16" i="10"/>
  <c r="I17" i="11"/>
  <c r="I17" i="9"/>
  <c r="N15" i="8"/>
  <c r="D6" i="4"/>
  <c r="H18" i="4"/>
  <c r="J10" i="8"/>
  <c r="G16" i="9" s="1"/>
  <c r="K13" i="8"/>
  <c r="L13" i="8"/>
  <c r="M13" i="6"/>
  <c r="L10" i="6"/>
  <c r="G17" i="7" s="1"/>
  <c r="N13" i="6"/>
  <c r="O23" i="3"/>
  <c r="I18" i="4" s="1"/>
  <c r="J21" i="3"/>
  <c r="G15" i="4"/>
  <c r="K21" i="3"/>
  <c r="K15" i="3" s="1"/>
  <c r="G6" i="11" l="1"/>
  <c r="I18" i="11"/>
  <c r="B20" i="10"/>
  <c r="G6" i="9"/>
  <c r="I18" i="9"/>
  <c r="B18" i="8"/>
  <c r="M13" i="8"/>
  <c r="L10" i="8"/>
  <c r="G17" i="9" s="1"/>
  <c r="N13" i="8"/>
  <c r="G6" i="4"/>
  <c r="C31" i="3"/>
  <c r="N10" i="6"/>
  <c r="G18" i="7" s="1"/>
  <c r="O13" i="6"/>
  <c r="L21" i="3"/>
  <c r="G16" i="4"/>
  <c r="M21" i="3"/>
  <c r="M15" i="3" s="1"/>
  <c r="O13" i="8" l="1"/>
  <c r="N10" i="8"/>
  <c r="G18" i="9" s="1"/>
  <c r="N21" i="3"/>
  <c r="G17" i="4"/>
  <c r="O21" i="3"/>
  <c r="O15" i="3" s="1"/>
  <c r="G18" i="4" l="1"/>
  <c r="P21" i="3"/>
  <c r="F12" i="4" l="1"/>
  <c r="F13" i="4"/>
  <c r="F14" i="4"/>
  <c r="F15" i="4"/>
  <c r="F16" i="4"/>
  <c r="F17" i="4"/>
  <c r="F18" i="4"/>
</calcChain>
</file>

<file path=xl/sharedStrings.xml><?xml version="1.0" encoding="utf-8"?>
<sst xmlns="http://schemas.openxmlformats.org/spreadsheetml/2006/main" count="276" uniqueCount="133">
  <si>
    <t>礼包项目</t>
  </si>
  <si>
    <t>金额（元）</t>
  </si>
  <si>
    <t>翡翠</t>
  </si>
  <si>
    <t>钻石（个）</t>
  </si>
  <si>
    <t>派对门票（张）</t>
  </si>
  <si>
    <t>性价比(门票/翡翠)</t>
  </si>
  <si>
    <t>刮刮乐基金免费奖励</t>
  </si>
  <si>
    <t>免费派对门票礼包（广告）</t>
  </si>
  <si>
    <t>宝石派对门票礼包</t>
  </si>
  <si>
    <t>刮刮乐基金奖励</t>
  </si>
  <si>
    <t>夏日派对活动头像框礼包（限购1次）</t>
  </si>
  <si>
    <t>派对门票礼包Ⅰ（2次）</t>
  </si>
  <si>
    <t>夏日派对称号礼包（限购1次）</t>
  </si>
  <si>
    <t>派对门票礼包Ⅱ  （2次）</t>
  </si>
  <si>
    <t>不朽宝石礼包（限购1次）</t>
  </si>
  <si>
    <t>派对门票礼包Ⅲ（只买1次）</t>
  </si>
  <si>
    <t>合计</t>
  </si>
  <si>
    <t>、</t>
  </si>
  <si>
    <t>抽奖道具</t>
  </si>
  <si>
    <t>积分概率计算</t>
  </si>
  <si>
    <t>道具数量概率计算</t>
  </si>
  <si>
    <t>实测概率</t>
  </si>
  <si>
    <t>普通兑换道具</t>
  </si>
  <si>
    <t>香草冰淇淋</t>
  </si>
  <si>
    <t>数量</t>
  </si>
  <si>
    <t>概率</t>
  </si>
  <si>
    <t>积分</t>
  </si>
  <si>
    <t>权重</t>
  </si>
  <si>
    <t>加权数量</t>
  </si>
  <si>
    <t>抽取次数</t>
  </si>
  <si>
    <t>香草/券</t>
  </si>
  <si>
    <t>梦幻/券</t>
  </si>
  <si>
    <t>高级兑换道具</t>
  </si>
  <si>
    <t>梦幻冰淇淋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</si>
  <si>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</si>
  <si>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</si>
  <si>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</si>
  <si>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</si>
  <si>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</si>
  <si>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</si>
  <si>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</si>
  <si>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</si>
  <si>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</si>
  <si>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1刮刮券=</t>
  </si>
  <si>
    <t>1梦幻冰淇淋=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</si>
  <si>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</si>
  <si>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</si>
  <si>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</si>
  <si>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</si>
  <si>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</si>
  <si>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</si>
  <si>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</si>
  <si>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价格（RMB）</t>
  </si>
  <si>
    <t>第1天</t>
  </si>
  <si>
    <t>第2天</t>
  </si>
  <si>
    <t>第3天</t>
  </si>
  <si>
    <t>第4天</t>
  </si>
  <si>
    <t>第5天</t>
  </si>
  <si>
    <t>第6天</t>
  </si>
  <si>
    <t>第7天</t>
  </si>
  <si>
    <t>上线登录</t>
  </si>
  <si>
    <t>每日任务</t>
  </si>
  <si>
    <t>兑换梦幻冰淇淋</t>
  </si>
  <si>
    <t>使用随机箱</t>
  </si>
  <si>
    <t>剩余随机箱</t>
  </si>
  <si>
    <t>档位奖励</t>
  </si>
  <si>
    <t>目标档位</t>
  </si>
  <si>
    <t>总体策略</t>
  </si>
  <si>
    <t>天数</t>
  </si>
  <si>
    <t>Day1</t>
    <phoneticPr fontId="24" type="noConversion"/>
  </si>
  <si>
    <t>Day2</t>
    <phoneticPr fontId="24" type="noConversion"/>
  </si>
  <si>
    <t>Day3</t>
    <phoneticPr fontId="24" type="noConversion"/>
  </si>
  <si>
    <t>Day4</t>
    <phoneticPr fontId="24" type="noConversion"/>
  </si>
  <si>
    <t>Day5</t>
    <phoneticPr fontId="24" type="noConversion"/>
  </si>
  <si>
    <t>Day6</t>
    <phoneticPr fontId="24" type="noConversion"/>
  </si>
  <si>
    <t>Day7</t>
    <phoneticPr fontId="24" type="noConversion"/>
  </si>
  <si>
    <t>风险提示</t>
    <phoneticPr fontId="24" type="noConversion"/>
  </si>
  <si>
    <t>刮刮券</t>
    <phoneticPr fontId="24" type="noConversion"/>
  </si>
  <si>
    <t>今天只做这些</t>
    <phoneticPr fontId="24" type="noConversion"/>
  </si>
  <si>
    <t>香草冰淇淋</t>
    <phoneticPr fontId="24" type="noConversion"/>
  </si>
  <si>
    <t>梦幻冰淇淋</t>
    <phoneticPr fontId="24" type="noConversion"/>
  </si>
  <si>
    <t>预算</t>
    <phoneticPr fontId="24" type="noConversion"/>
  </si>
  <si>
    <t>夏日派对｜10.5万钻攻略</t>
    <phoneticPr fontId="24" type="noConversion"/>
  </si>
  <si>
    <t>夏日派对｜4.5万钻攻略</t>
    <phoneticPr fontId="24" type="noConversion"/>
  </si>
  <si>
    <r>
      <t>可兑换珍稀物品：</t>
    </r>
    <r>
      <rPr>
        <b/>
        <sz val="12"/>
        <color rgb="FF7030A0"/>
        <rFont val="微软雅黑"/>
        <family val="2"/>
        <charset val="134"/>
      </rPr>
      <t>万能英杰碎片×1</t>
    </r>
    <r>
      <rPr>
        <b/>
        <sz val="12"/>
        <rFont val="微软雅黑"/>
        <family val="2"/>
        <charset val="134"/>
      </rPr>
      <t xml:space="preserve"> +</t>
    </r>
    <r>
      <rPr>
        <b/>
        <sz val="12"/>
        <color rgb="FFCC00CC"/>
        <rFont val="微软雅黑"/>
        <family val="2"/>
        <charset val="134"/>
      </rPr>
      <t xml:space="preserve"> 至尊自选箱×1</t>
    </r>
    <r>
      <rPr>
        <b/>
        <sz val="12"/>
        <rFont val="微软雅黑"/>
        <family val="2"/>
        <charset val="134"/>
      </rPr>
      <t xml:space="preserve"> + </t>
    </r>
    <r>
      <rPr>
        <b/>
        <sz val="12"/>
        <color rgb="FFFF0000"/>
        <rFont val="微软雅黑"/>
        <family val="2"/>
        <charset val="134"/>
      </rPr>
      <t>觉醒核心自选箱×1</t>
    </r>
    <phoneticPr fontId="24" type="noConversion"/>
  </si>
  <si>
    <t>夏日派对｜1.5万钻攻略</t>
    <phoneticPr fontId="24" type="noConversion"/>
  </si>
  <si>
    <r>
      <t>可兑换珍稀物品：</t>
    </r>
    <r>
      <rPr>
        <b/>
        <sz val="12"/>
        <color rgb="FFCC00CC"/>
        <rFont val="微软雅黑"/>
        <family val="2"/>
        <charset val="134"/>
      </rPr>
      <t xml:space="preserve"> 至尊自选箱×1</t>
    </r>
    <r>
      <rPr>
        <b/>
        <sz val="12"/>
        <rFont val="微软雅黑"/>
        <family val="2"/>
        <charset val="134"/>
      </rPr>
      <t xml:space="preserve"> + 橙秘宝自选箱×1 + 高级炼金试剂×40</t>
    </r>
    <phoneticPr fontId="24" type="noConversion"/>
  </si>
  <si>
    <t>可兑换珍稀物品： 至尊自选箱×1 + 橙秘宝自选箱×1 + 高级炼金试剂×40</t>
    <phoneticPr fontId="24" type="noConversion"/>
  </si>
  <si>
    <t>可兑换珍稀物品：万能英杰碎片×1 + 至尊自选箱×1 + 觉醒核心自选箱×1</t>
    <phoneticPr fontId="24" type="noConversion"/>
  </si>
  <si>
    <t>总体策略</t>
    <phoneticPr fontId="24" type="noConversion"/>
  </si>
  <si>
    <t>氪金策略</t>
    <phoneticPr fontId="24" type="noConversion"/>
  </si>
  <si>
    <t>氪金购买</t>
    <phoneticPr fontId="24" type="noConversion"/>
  </si>
  <si>
    <r>
      <t>可兑换珍稀物品：</t>
    </r>
    <r>
      <rPr>
        <b/>
        <sz val="12"/>
        <color rgb="FF7030A0"/>
        <rFont val="微软雅黑"/>
        <family val="2"/>
        <charset val="134"/>
      </rPr>
      <t>超越万能神器核心×2</t>
    </r>
    <r>
      <rPr>
        <b/>
        <sz val="12"/>
        <rFont val="微软雅黑"/>
        <family val="2"/>
        <charset val="134"/>
      </rPr>
      <t xml:space="preserve"> +</t>
    </r>
    <r>
      <rPr>
        <b/>
        <sz val="12"/>
        <color rgb="FFCC00CC"/>
        <rFont val="微软雅黑"/>
        <family val="2"/>
        <charset val="134"/>
      </rPr>
      <t xml:space="preserve"> 至尊自选箱×1</t>
    </r>
    <r>
      <rPr>
        <b/>
        <sz val="12"/>
        <rFont val="微软雅黑"/>
        <family val="2"/>
        <charset val="134"/>
      </rPr>
      <t xml:space="preserve"> + </t>
    </r>
    <r>
      <rPr>
        <b/>
        <sz val="12"/>
        <color rgb="FFFF0000"/>
        <rFont val="微软雅黑"/>
        <family val="2"/>
        <charset val="134"/>
      </rPr>
      <t>觉醒核心自选箱×2</t>
    </r>
    <phoneticPr fontId="24" type="noConversion"/>
  </si>
  <si>
    <t>可兑换珍稀物品：超越万能神器核心×2</t>
    <phoneticPr fontId="24" type="noConversion"/>
  </si>
  <si>
    <t>氪金买礼包1+礼包2，共1500翡翠；用14随机箱，到第3档停手</t>
    <phoneticPr fontId="24" type="noConversion"/>
  </si>
  <si>
    <t>氪金买礼包1+礼包2+礼包3+礼包4，共8000翡翠；用300券，商店兑换100梦幻冰淇淋，到第4档停手</t>
    <phoneticPr fontId="24" type="noConversion"/>
  </si>
  <si>
    <t>用186券；用96随机箱；到第3档停手</t>
    <phoneticPr fontId="24" type="noConversion"/>
  </si>
  <si>
    <t>用54券，到第2档停手</t>
    <phoneticPr fontId="24" type="noConversion"/>
  </si>
  <si>
    <t>105000钻+12500翡翠</t>
    <phoneticPr fontId="24" type="noConversion"/>
  </si>
  <si>
    <t>夏日派对｜2超越核心氪金攻略</t>
    <phoneticPr fontId="24" type="noConversion"/>
  </si>
  <si>
    <t>把所有道具全用</t>
    <phoneticPr fontId="24" type="noConversion"/>
  </si>
  <si>
    <t>登录得5券 + 任务得43券 + 钻石买100券；不刮；全部屯着</t>
    <phoneticPr fontId="24" type="noConversion"/>
  </si>
  <si>
    <t>收尾日</t>
    <phoneticPr fontId="24" type="noConversion"/>
  </si>
  <si>
    <t>任务得43券 + 钻石买100券；刮约50券，到第2档停手；其余屯着</t>
    <phoneticPr fontId="24" type="noConversion"/>
  </si>
  <si>
    <t>任务得43券; 今日不刮券，全部屯着</t>
    <phoneticPr fontId="24" type="noConversion"/>
  </si>
  <si>
    <t>任务得43券 ；全刮约506券；商店兑换100梦幻冰淇淋
开18个随机箱</t>
    <phoneticPr fontId="24" type="noConversion"/>
  </si>
  <si>
    <t>任务得43券 ；想刮就刮</t>
    <phoneticPr fontId="24" type="noConversion"/>
  </si>
  <si>
    <t>任务得43券 ；把道具全部用掉</t>
    <phoneticPr fontId="24" type="noConversion"/>
  </si>
  <si>
    <t>登录得5券 + 任务得43券 + 钻石买100券；想刮就刮</t>
    <phoneticPr fontId="24" type="noConversion"/>
  </si>
  <si>
    <t>Day1~Day7 | 只要第1天买满100张券就能拿到第2档奖励。后续几天无档位要求想刮就刮
Day7｜如果拿不到18000香草冰淇淋，就无法兑换至尊箱。需要再额外购买刮刮券</t>
    <phoneticPr fontId="24" type="noConversion"/>
  </si>
  <si>
    <t>Day2~Day3｜刮到第2档奖励就停手。刮50券只是理论计算，按实际情况来执行
Day7｜如果拿不到30000香草冰淇淋，就无法兑换觉醒+至尊箱。需要再额外购买刮刮券</t>
    <phoneticPr fontId="24" type="noConversion"/>
  </si>
  <si>
    <t>氪金日</t>
    <phoneticPr fontId="24" type="noConversion"/>
  </si>
  <si>
    <t>Day1~Day7｜抽多少券有运气成分，根据实际情况来，但一定要达到每日的目标档位要求
Day1~Day7 | 每日任务得43券，钻石买满100券是基本要求
Day7 | 如果最后1天梦幻冰淇淋数量不足2900，则还得氪金冲到第3档</t>
    <phoneticPr fontId="24" type="noConversion"/>
  </si>
  <si>
    <t>① 登录得5券 + 任务得43券 + 钻石买100券
② 今天不刮，刮刮券全部留存</t>
    <phoneticPr fontId="24" type="noConversion"/>
  </si>
  <si>
    <t>① 任务得43券 + 钻石买100券
② 刮50券左右，到第2档立即停手，其余留存</t>
    <phoneticPr fontId="24" type="noConversion"/>
  </si>
  <si>
    <t>氪金RMB</t>
    <phoneticPr fontId="24" type="noConversion"/>
  </si>
  <si>
    <t>氪金翡翠</t>
    <phoneticPr fontId="24" type="noConversion"/>
  </si>
  <si>
    <t>商店兑换</t>
    <phoneticPr fontId="24" type="noConversion"/>
  </si>
  <si>
    <t>免费基金</t>
    <phoneticPr fontId="24" type="noConversion"/>
  </si>
  <si>
    <t>活动签到</t>
    <phoneticPr fontId="24" type="noConversion"/>
  </si>
  <si>
    <t>氪金礼包</t>
    <phoneticPr fontId="24" type="noConversion"/>
  </si>
  <si>
    <t>氪金基金</t>
    <phoneticPr fontId="24" type="noConversion"/>
  </si>
  <si>
    <t>首次登录</t>
    <phoneticPr fontId="24" type="noConversion"/>
  </si>
  <si>
    <t>兑换梦幻</t>
    <phoneticPr fontId="24" type="noConversion"/>
  </si>
  <si>
    <t>？</t>
    <phoneticPr fontId="24" type="noConversion"/>
  </si>
  <si>
    <t>总随机箱</t>
    <phoneticPr fontId="24" type="noConversion"/>
  </si>
  <si>
    <t>目标档位</t>
    <phoneticPr fontId="24" type="noConversion"/>
  </si>
  <si>
    <t>没有梦幻冰淇淋就提前结算实测概率</t>
    <phoneticPr fontId="24" type="noConversion"/>
  </si>
  <si>
    <t>香草中位数</t>
    <phoneticPr fontId="24" type="noConversion"/>
  </si>
  <si>
    <t>梦幻中位数</t>
    <phoneticPr fontId="24" type="noConversion"/>
  </si>
  <si>
    <t>① 任务得43券+钻石购买100券
② 刮完约756券再去开随机箱
③ 商店兑换100梦幻冰淇淋 
④ 开第3档奖励的12个随机箱</t>
    <phoneticPr fontId="24" type="noConversion"/>
  </si>
  <si>
    <t>Day2~Day6｜刮到第2档奖励就停手。刮50券只是理论计算，按实际情况来执行
Day7｜最后一天冲第3档一定注意不要提前开随机箱和商店兑换，拉高梦幻比例会降低抽中概率
Day7｜运气成分很大，不一定能冲到第3档，可以考虑第4第5行提前结算奖励以获得更多梦幻冰淇淋</t>
    <phoneticPr fontId="24" type="noConversion"/>
  </si>
  <si>
    <r>
      <t>可兑换：</t>
    </r>
    <r>
      <rPr>
        <b/>
        <sz val="12"/>
        <color rgb="FF7030A0"/>
        <rFont val="微软雅黑"/>
        <family val="2"/>
        <charset val="134"/>
      </rPr>
      <t>超越万能神器核心碎片×1或万能英杰碎片×2</t>
    </r>
    <r>
      <rPr>
        <b/>
        <sz val="12"/>
        <rFont val="微软雅黑"/>
        <family val="2"/>
        <charset val="134"/>
      </rPr>
      <t xml:space="preserve"> +</t>
    </r>
    <r>
      <rPr>
        <b/>
        <sz val="12"/>
        <color rgb="FFCC00CC"/>
        <rFont val="微软雅黑"/>
        <family val="2"/>
        <charset val="134"/>
      </rPr>
      <t xml:space="preserve"> 至尊自选箱×1</t>
    </r>
    <r>
      <rPr>
        <b/>
        <sz val="12"/>
        <rFont val="微软雅黑"/>
        <family val="2"/>
        <charset val="134"/>
      </rPr>
      <t xml:space="preserve"> + </t>
    </r>
    <r>
      <rPr>
        <b/>
        <sz val="12"/>
        <color rgb="FFFF0000"/>
        <rFont val="微软雅黑"/>
        <family val="2"/>
        <charset val="134"/>
      </rPr>
      <t>觉醒核心自选箱×2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</si>
</sst>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0"/>
    <numFmt numFmtId="178" formatCode="0.0000"/>
    <numFmt numFmtId="179" formatCode="0.0"/>
  </numFmts>
  <fonts count="32">
    <font>
      <sz val="11"/>
      <color theme="1"/>
      <name val="等线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2"/>
      <color theme="0"/>
      <name val="微软雅黑"/>
      <family val="2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6"/>
      <color rgb="FFC65911"/>
      <name val="微软雅黑"/>
      <family val="2"/>
      <charset val="134"/>
    </font>
    <font>
      <b/>
      <sz val="16"/>
      <color rgb="FF17365D"/>
      <name val="微软雅黑"/>
      <family val="2"/>
      <charset val="134"/>
    </font>
    <font>
      <b/>
      <sz val="16"/>
      <color rgb="FF375623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6"/>
      <color rgb="FF7030A0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b/>
      <sz val="19"/>
      <color rgb="FFFFFFFF"/>
      <name val="微软雅黑"/>
      <family val="2"/>
      <charset val="134"/>
    </font>
    <font>
      <b/>
      <sz val="14"/>
      <color rgb="FF375623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color rgb="FF29415C"/>
      <name val="微软雅黑"/>
      <family val="2"/>
      <charset val="134"/>
    </font>
    <font>
      <b/>
      <sz val="11"/>
      <color rgb="FF9C5700"/>
      <name val="微软雅黑"/>
      <family val="2"/>
      <charset val="134"/>
    </font>
    <font>
      <b/>
      <sz val="14"/>
      <color rgb="FF9C5700"/>
      <name val="微软雅黑"/>
      <family val="2"/>
      <charset val="134"/>
    </font>
    <font>
      <b/>
      <sz val="9"/>
      <color rgb="FF9C5700"/>
      <name val="微软雅黑"/>
      <family val="2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b/>
      <sz val="12"/>
      <color rgb="FF7030A0"/>
      <name val="微软雅黑"/>
      <family val="2"/>
      <charset val="134"/>
    </font>
    <font>
      <b/>
      <sz val="12"/>
      <color rgb="FFCC00CC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9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88A20"/>
      </patternFill>
    </fill>
    <fill>
      <patternFill patternType="solid">
        <fgColor rgb="FFFFF2CC"/>
      </patternFill>
    </fill>
    <fill>
      <patternFill patternType="solid">
        <fgColor rgb="FF9C5700"/>
      </patternFill>
    </fill>
    <fill>
      <patternFill patternType="solid">
        <fgColor rgb="FFFFF8E7"/>
      </patternFill>
    </fill>
    <fill>
      <patternFill patternType="solid">
        <fgColor rgb="FFF8CBAD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D9D9D9"/>
      </bottom>
      <diagonal/>
    </border>
    <border>
      <left style="thick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ck">
        <color rgb="FF000000"/>
      </right>
      <top/>
      <bottom style="thin">
        <color rgb="FFD9D9D9"/>
      </bottom>
      <diagonal/>
    </border>
    <border>
      <left/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D9D9D9"/>
      </top>
      <bottom style="thick">
        <color rgb="FF000000"/>
      </bottom>
      <diagonal/>
    </border>
    <border>
      <left/>
      <right/>
      <top style="thin">
        <color rgb="FFD9D9D9"/>
      </top>
      <bottom style="thick">
        <color rgb="FF000000"/>
      </bottom>
      <diagonal/>
    </border>
    <border>
      <left/>
      <right style="thick">
        <color rgb="FF000000"/>
      </right>
      <top style="thin">
        <color rgb="FFD9D9D9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rgb="FFD88A2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10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78" fontId="1" fillId="6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14" fillId="0" borderId="0" xfId="2" applyFont="1" applyAlignment="1">
      <alignment vertical="center" wrapText="1"/>
    </xf>
    <xf numFmtId="0" fontId="7" fillId="0" borderId="0" xfId="2" applyFont="1" applyAlignment="1">
      <alignment vertical="top" wrapText="1"/>
    </xf>
    <xf numFmtId="0" fontId="20" fillId="17" borderId="14" xfId="0" applyFont="1" applyFill="1" applyBorder="1" applyAlignment="1">
      <alignment horizontal="center" vertical="center" wrapText="1"/>
    </xf>
    <xf numFmtId="1" fontId="20" fillId="17" borderId="14" xfId="0" applyNumberFormat="1" applyFont="1" applyFill="1" applyBorder="1" applyAlignment="1">
      <alignment horizontal="center" vertical="center" wrapText="1"/>
    </xf>
    <xf numFmtId="0" fontId="23" fillId="22" borderId="16" xfId="0" applyFont="1" applyFill="1" applyBorder="1" applyAlignment="1">
      <alignment horizontal="center" vertical="center" wrapText="1"/>
    </xf>
    <xf numFmtId="1" fontId="23" fillId="22" borderId="16" xfId="0" applyNumberFormat="1" applyFont="1" applyFill="1" applyBorder="1" applyAlignment="1">
      <alignment horizontal="center" vertical="center" wrapText="1"/>
    </xf>
    <xf numFmtId="0" fontId="20" fillId="17" borderId="33" xfId="0" applyFont="1" applyFill="1" applyBorder="1" applyAlignment="1">
      <alignment horizontal="center" vertical="center" wrapText="1"/>
    </xf>
    <xf numFmtId="1" fontId="20" fillId="17" borderId="34" xfId="0" applyNumberFormat="1" applyFont="1" applyFill="1" applyBorder="1" applyAlignment="1">
      <alignment horizontal="center" vertical="center" wrapText="1"/>
    </xf>
    <xf numFmtId="0" fontId="23" fillId="22" borderId="21" xfId="0" applyFont="1" applyFill="1" applyBorder="1" applyAlignment="1">
      <alignment horizontal="center" vertical="center" wrapText="1"/>
    </xf>
    <xf numFmtId="1" fontId="23" fillId="22" borderId="23" xfId="0" applyNumberFormat="1" applyFont="1" applyFill="1" applyBorder="1" applyAlignment="1">
      <alignment horizontal="center" vertical="center" wrapText="1"/>
    </xf>
    <xf numFmtId="0" fontId="19" fillId="21" borderId="24" xfId="0" applyFont="1" applyFill="1" applyBorder="1" applyAlignment="1">
      <alignment horizontal="center" vertical="center" wrapText="1"/>
    </xf>
    <xf numFmtId="0" fontId="19" fillId="21" borderId="25" xfId="0" applyFont="1" applyFill="1" applyBorder="1" applyAlignment="1">
      <alignment horizontal="center" vertical="center" wrapText="1"/>
    </xf>
    <xf numFmtId="0" fontId="19" fillId="21" borderId="26" xfId="0" applyFont="1" applyFill="1" applyBorder="1" applyAlignment="1">
      <alignment horizontal="center" vertical="center" wrapText="1"/>
    </xf>
    <xf numFmtId="0" fontId="23" fillId="20" borderId="35" xfId="0" applyFont="1" applyFill="1" applyBorder="1" applyAlignment="1">
      <alignment horizontal="center" vertical="center" wrapText="1"/>
    </xf>
    <xf numFmtId="0" fontId="23" fillId="20" borderId="36" xfId="0" applyFont="1" applyFill="1" applyBorder="1" applyAlignment="1">
      <alignment horizontal="center" vertical="center" wrapText="1"/>
    </xf>
    <xf numFmtId="1" fontId="23" fillId="20" borderId="36" xfId="0" applyNumberFormat="1" applyFont="1" applyFill="1" applyBorder="1" applyAlignment="1">
      <alignment horizontal="center" vertical="center" wrapText="1"/>
    </xf>
    <xf numFmtId="0" fontId="9" fillId="0" borderId="33" xfId="3" applyFont="1" applyBorder="1" applyAlignment="1">
      <alignment horizontal="center"/>
    </xf>
    <xf numFmtId="0" fontId="9" fillId="0" borderId="14" xfId="3" applyFont="1" applyBorder="1" applyAlignment="1">
      <alignment horizontal="center"/>
    </xf>
    <xf numFmtId="0" fontId="9" fillId="0" borderId="34" xfId="3" applyFont="1" applyBorder="1" applyAlignment="1">
      <alignment horizontal="center"/>
    </xf>
    <xf numFmtId="1" fontId="10" fillId="0" borderId="33" xfId="2" applyNumberFormat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1" fontId="15" fillId="0" borderId="14" xfId="2" applyNumberFormat="1" applyFont="1" applyBorder="1" applyAlignment="1">
      <alignment horizontal="center"/>
    </xf>
    <xf numFmtId="1" fontId="12" fillId="0" borderId="14" xfId="2" applyNumberFormat="1" applyFont="1" applyBorder="1" applyAlignment="1">
      <alignment horizontal="center"/>
    </xf>
    <xf numFmtId="0" fontId="12" fillId="0" borderId="34" xfId="2" applyFont="1" applyBorder="1" applyAlignment="1">
      <alignment horizontal="center"/>
    </xf>
    <xf numFmtId="1" fontId="23" fillId="20" borderId="37" xfId="0" applyNumberFormat="1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vertical="center"/>
    </xf>
    <xf numFmtId="1" fontId="18" fillId="0" borderId="14" xfId="0" applyNumberFormat="1" applyFont="1" applyBorder="1" applyAlignment="1">
      <alignment vertical="center"/>
    </xf>
    <xf numFmtId="0" fontId="29" fillId="0" borderId="14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top" wrapText="1"/>
    </xf>
    <xf numFmtId="0" fontId="14" fillId="0" borderId="0" xfId="2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79" fontId="1" fillId="0" borderId="5" xfId="0" applyNumberFormat="1" applyFont="1" applyBorder="1" applyAlignment="1">
      <alignment horizontal="center"/>
    </xf>
    <xf numFmtId="0" fontId="1" fillId="27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79" fontId="1" fillId="3" borderId="13" xfId="0" applyNumberFormat="1" applyFont="1" applyFill="1" applyBorder="1" applyAlignment="1">
      <alignment horizontal="center"/>
    </xf>
    <xf numFmtId="179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3" fillId="9" borderId="24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30" fillId="18" borderId="30" xfId="0" applyFont="1" applyFill="1" applyBorder="1" applyAlignment="1">
      <alignment horizontal="center" vertical="center" wrapText="1"/>
    </xf>
    <xf numFmtId="0" fontId="30" fillId="18" borderId="31" xfId="0" applyFont="1" applyFill="1" applyBorder="1" applyAlignment="1">
      <alignment horizontal="center" vertical="center" wrapText="1"/>
    </xf>
    <xf numFmtId="0" fontId="30" fillId="18" borderId="32" xfId="0" applyFont="1" applyFill="1" applyBorder="1" applyAlignment="1">
      <alignment horizontal="center" vertical="center" wrapText="1"/>
    </xf>
    <xf numFmtId="0" fontId="25" fillId="23" borderId="24" xfId="0" applyFont="1" applyFill="1" applyBorder="1" applyAlignment="1">
      <alignment horizontal="center" vertical="center" wrapText="1"/>
    </xf>
    <xf numFmtId="0" fontId="25" fillId="23" borderId="25" xfId="0" applyFont="1" applyFill="1" applyBorder="1" applyAlignment="1">
      <alignment horizontal="center" vertical="center" wrapText="1"/>
    </xf>
    <xf numFmtId="0" fontId="25" fillId="23" borderId="26" xfId="0" applyFont="1" applyFill="1" applyBorder="1" applyAlignment="1">
      <alignment horizontal="center" vertical="center" wrapText="1"/>
    </xf>
    <xf numFmtId="0" fontId="25" fillId="23" borderId="30" xfId="0" applyFont="1" applyFill="1" applyBorder="1" applyAlignment="1">
      <alignment horizontal="center" vertical="center" wrapText="1"/>
    </xf>
    <xf numFmtId="0" fontId="25" fillId="23" borderId="31" xfId="0" applyFont="1" applyFill="1" applyBorder="1" applyAlignment="1">
      <alignment horizontal="center" vertical="center" wrapText="1"/>
    </xf>
    <xf numFmtId="0" fontId="25" fillId="23" borderId="32" xfId="0" applyFont="1" applyFill="1" applyBorder="1" applyAlignment="1">
      <alignment horizontal="center" vertical="center" wrapText="1"/>
    </xf>
    <xf numFmtId="0" fontId="17" fillId="19" borderId="17" xfId="0" applyFont="1" applyFill="1" applyBorder="1" applyAlignment="1">
      <alignment horizontal="center" vertical="center" wrapText="1"/>
    </xf>
    <xf numFmtId="0" fontId="17" fillId="19" borderId="18" xfId="0" applyFont="1" applyFill="1" applyBorder="1" applyAlignment="1">
      <alignment horizontal="center" vertical="center"/>
    </xf>
    <xf numFmtId="0" fontId="17" fillId="19" borderId="19" xfId="0" applyFont="1" applyFill="1" applyBorder="1" applyAlignment="1">
      <alignment horizontal="center" vertical="center"/>
    </xf>
    <xf numFmtId="1" fontId="22" fillId="17" borderId="27" xfId="0" applyNumberFormat="1" applyFont="1" applyFill="1" applyBorder="1" applyAlignment="1">
      <alignment horizontal="center" vertical="center"/>
    </xf>
    <xf numFmtId="0" fontId="22" fillId="17" borderId="29" xfId="0" applyFont="1" applyFill="1" applyBorder="1" applyAlignment="1">
      <alignment horizontal="center" vertical="center"/>
    </xf>
    <xf numFmtId="0" fontId="21" fillId="20" borderId="24" xfId="0" applyFont="1" applyFill="1" applyBorder="1" applyAlignment="1">
      <alignment horizontal="center" vertical="center"/>
    </xf>
    <xf numFmtId="0" fontId="21" fillId="20" borderId="26" xfId="0" applyFont="1" applyFill="1" applyBorder="1" applyAlignment="1">
      <alignment horizontal="center" vertical="center"/>
    </xf>
    <xf numFmtId="0" fontId="21" fillId="20" borderId="20" xfId="0" applyFont="1" applyFill="1" applyBorder="1" applyAlignment="1">
      <alignment horizontal="center" vertical="center"/>
    </xf>
    <xf numFmtId="0" fontId="21" fillId="20" borderId="22" xfId="0" applyFont="1" applyFill="1" applyBorder="1" applyAlignment="1">
      <alignment horizontal="center" vertical="center"/>
    </xf>
    <xf numFmtId="0" fontId="21" fillId="20" borderId="25" xfId="0" applyFont="1" applyFill="1" applyBorder="1" applyAlignment="1">
      <alignment horizontal="center" vertical="center"/>
    </xf>
    <xf numFmtId="0" fontId="21" fillId="20" borderId="15" xfId="0" applyFont="1" applyFill="1" applyBorder="1" applyAlignment="1">
      <alignment horizontal="center" vertical="center"/>
    </xf>
    <xf numFmtId="1" fontId="16" fillId="17" borderId="28" xfId="0" applyNumberFormat="1" applyFont="1" applyFill="1" applyBorder="1" applyAlignment="1">
      <alignment horizontal="center" vertical="center"/>
    </xf>
    <xf numFmtId="1" fontId="16" fillId="17" borderId="29" xfId="0" applyNumberFormat="1" applyFont="1" applyFill="1" applyBorder="1" applyAlignment="1">
      <alignment horizontal="center" vertical="center"/>
    </xf>
    <xf numFmtId="1" fontId="18" fillId="17" borderId="27" xfId="0" applyNumberFormat="1" applyFont="1" applyFill="1" applyBorder="1" applyAlignment="1">
      <alignment horizontal="center" vertical="center"/>
    </xf>
    <xf numFmtId="1" fontId="18" fillId="17" borderId="28" xfId="0" applyNumberFormat="1" applyFont="1" applyFill="1" applyBorder="1" applyAlignment="1">
      <alignment horizontal="center" vertical="center"/>
    </xf>
    <xf numFmtId="1" fontId="18" fillId="17" borderId="29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13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5" fillId="26" borderId="14" xfId="0" applyFont="1" applyFill="1" applyBorder="1" applyAlignment="1">
      <alignment horizontal="center" vertical="center" wrapText="1"/>
    </xf>
    <xf numFmtId="0" fontId="5" fillId="25" borderId="14" xfId="0" applyFont="1" applyFill="1" applyBorder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4" fillId="28" borderId="6" xfId="0" applyFont="1" applyFill="1" applyBorder="1" applyAlignment="1">
      <alignment horizontal="center" vertical="center"/>
    </xf>
    <xf numFmtId="0" fontId="4" fillId="28" borderId="7" xfId="0" applyFont="1" applyFill="1" applyBorder="1" applyAlignment="1">
      <alignment horizontal="center" vertical="center"/>
    </xf>
    <xf numFmtId="0" fontId="4" fillId="28" borderId="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7" fillId="24" borderId="17" xfId="0" applyFont="1" applyFill="1" applyBorder="1" applyAlignment="1">
      <alignment horizontal="center" vertical="center" wrapText="1"/>
    </xf>
    <xf numFmtId="0" fontId="17" fillId="24" borderId="18" xfId="0" applyFont="1" applyFill="1" applyBorder="1" applyAlignment="1">
      <alignment horizontal="center" vertical="center"/>
    </xf>
    <xf numFmtId="0" fontId="17" fillId="24" borderId="19" xfId="0" applyFont="1" applyFill="1" applyBorder="1" applyAlignment="1">
      <alignment horizontal="center" vertical="center"/>
    </xf>
  </cellXfs>
  <cellStyles count="4">
    <cellStyle name="Normal" xfId="2" xr:uid="{00000000-0005-0000-0000-000000000000}"/>
    <cellStyle name="常规" xfId="0" builtinId="0"/>
    <cellStyle name="常规 2" xfId="1" xr:uid="{00000000-0005-0000-0000-000002000000}"/>
    <cellStyle name="常规 3" xfId="3" xr:uid="{00000000-0005-0000-0000-000003000000}"/>
  </cellStyles>
  <dxfs count="17">
    <dxf>
      <fill>
        <patternFill>
          <bgColor theme="5" tint="0.59993285927915285"/>
        </patternFill>
      </fill>
    </dxf>
    <dxf>
      <fill>
        <patternFill>
          <bgColor theme="4" tint="0.59993285927915285"/>
        </patternFill>
      </fill>
    </dxf>
    <dxf>
      <fill>
        <patternFill>
          <bgColor rgb="FFFFFF00"/>
        </patternFill>
      </fill>
    </dxf>
    <dxf>
      <fill>
        <patternFill>
          <bgColor theme="9" tint="0.59993285927915285"/>
        </patternFill>
      </fill>
    </dxf>
    <dxf>
      <fill>
        <patternFill>
          <bgColor theme="5" tint="0.59993285927915285"/>
        </patternFill>
      </fill>
    </dxf>
    <dxf>
      <fill>
        <patternFill>
          <bgColor theme="4" tint="0.59993285927915285"/>
        </patternFill>
      </fill>
    </dxf>
    <dxf>
      <fill>
        <patternFill>
          <bgColor rgb="FFFFFF00"/>
        </patternFill>
      </fill>
    </dxf>
    <dxf>
      <fill>
        <patternFill>
          <bgColor theme="9" tint="0.59993285927915285"/>
        </patternFill>
      </fill>
    </dxf>
    <dxf>
      <fill>
        <patternFill>
          <bgColor theme="5" tint="0.59993285927915285"/>
        </patternFill>
      </fill>
    </dxf>
    <dxf>
      <fill>
        <patternFill>
          <bgColor theme="4" tint="0.59993285927915285"/>
        </patternFill>
      </fill>
    </dxf>
    <dxf>
      <fill>
        <patternFill>
          <bgColor rgb="FFFFFF00"/>
        </patternFill>
      </fill>
    </dxf>
    <dxf>
      <fill>
        <patternFill>
          <bgColor theme="9" tint="0.59993285927915285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A17" sqref="A17"/>
    </sheetView>
  </sheetViews>
  <sheetFormatPr defaultRowHeight="13.8"/>
  <cols>
    <col min="1" max="1" width="37.21875" style="49" customWidth="1"/>
    <col min="2" max="2" width="11.6640625" style="49" customWidth="1"/>
    <col min="3" max="3" width="10.44140625" style="49" customWidth="1"/>
    <col min="4" max="4" width="11.77734375" style="49" customWidth="1"/>
    <col min="5" max="5" width="16.109375" style="49" customWidth="1"/>
    <col min="6" max="6" width="18.5546875" style="49" customWidth="1"/>
    <col min="7" max="7" width="5.5546875" style="49" customWidth="1"/>
    <col min="8" max="16384" width="8.88671875" style="49"/>
  </cols>
  <sheetData>
    <row r="1" spans="1:7" ht="15.6">
      <c r="A1" s="52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4" t="s">
        <v>5</v>
      </c>
      <c r="G1" s="6"/>
    </row>
    <row r="2" spans="1:7" ht="15.6">
      <c r="A2" s="7" t="s">
        <v>6</v>
      </c>
      <c r="B2" s="6">
        <v>0</v>
      </c>
      <c r="C2" s="6">
        <v>0</v>
      </c>
      <c r="D2" s="6">
        <v>0</v>
      </c>
      <c r="E2" s="6">
        <v>20</v>
      </c>
      <c r="F2" s="55"/>
      <c r="G2" s="6"/>
    </row>
    <row r="3" spans="1:7" ht="15.6">
      <c r="A3" s="7" t="s">
        <v>7</v>
      </c>
      <c r="B3" s="6">
        <v>0</v>
      </c>
      <c r="C3" s="6">
        <v>0</v>
      </c>
      <c r="D3" s="6">
        <v>0</v>
      </c>
      <c r="E3" s="6">
        <v>34</v>
      </c>
      <c r="F3" s="55"/>
      <c r="G3" s="6"/>
    </row>
    <row r="4" spans="1:7" ht="15.6">
      <c r="A4" s="7" t="s">
        <v>8</v>
      </c>
      <c r="B4" s="6">
        <v>0</v>
      </c>
      <c r="C4" s="6">
        <v>0</v>
      </c>
      <c r="D4" s="6">
        <v>10000</v>
      </c>
      <c r="E4" s="6">
        <v>20</v>
      </c>
      <c r="F4" s="55"/>
      <c r="G4" s="6"/>
    </row>
    <row r="5" spans="1:7" ht="15.6">
      <c r="A5" s="7" t="s">
        <v>9</v>
      </c>
      <c r="B5" s="6">
        <v>68</v>
      </c>
      <c r="C5" s="6">
        <v>1000</v>
      </c>
      <c r="D5" s="6">
        <v>0</v>
      </c>
      <c r="E5" s="6">
        <v>80</v>
      </c>
      <c r="F5" s="55">
        <f>E5/C5</f>
        <v>0.08</v>
      </c>
      <c r="G5" s="6"/>
    </row>
    <row r="6" spans="1:7" ht="15.6">
      <c r="A6" s="7" t="s">
        <v>10</v>
      </c>
      <c r="B6" s="6">
        <v>30</v>
      </c>
      <c r="C6" s="6">
        <v>500</v>
      </c>
      <c r="D6" s="6">
        <v>0</v>
      </c>
      <c r="E6" s="6">
        <v>10</v>
      </c>
      <c r="F6" s="55">
        <f t="shared" ref="F6:F11" si="0">E6/C6</f>
        <v>0.02</v>
      </c>
      <c r="G6" s="6"/>
    </row>
    <row r="7" spans="1:7" ht="15.6">
      <c r="A7" s="7" t="s">
        <v>11</v>
      </c>
      <c r="B7" s="6">
        <v>60</v>
      </c>
      <c r="C7" s="6">
        <v>1000</v>
      </c>
      <c r="D7" s="6">
        <v>0</v>
      </c>
      <c r="E7" s="6">
        <v>20</v>
      </c>
      <c r="F7" s="55">
        <f t="shared" si="0"/>
        <v>0.02</v>
      </c>
      <c r="G7" s="6"/>
    </row>
    <row r="8" spans="1:7" ht="15.6">
      <c r="A8" s="7" t="s">
        <v>12</v>
      </c>
      <c r="B8" s="6">
        <f>68</f>
        <v>68</v>
      </c>
      <c r="C8" s="6">
        <v>1000</v>
      </c>
      <c r="D8" s="6">
        <v>0</v>
      </c>
      <c r="E8" s="6">
        <v>20</v>
      </c>
      <c r="F8" s="55">
        <f t="shared" si="0"/>
        <v>0.02</v>
      </c>
      <c r="G8" s="6"/>
    </row>
    <row r="9" spans="1:7" ht="15.6">
      <c r="A9" s="7" t="s">
        <v>13</v>
      </c>
      <c r="B9" s="6">
        <f>68*2</f>
        <v>136</v>
      </c>
      <c r="C9" s="6">
        <v>2000</v>
      </c>
      <c r="D9" s="6">
        <v>0</v>
      </c>
      <c r="E9" s="6">
        <v>40</v>
      </c>
      <c r="F9" s="55">
        <f t="shared" si="0"/>
        <v>0.02</v>
      </c>
      <c r="G9" s="6"/>
    </row>
    <row r="10" spans="1:7" ht="15.6">
      <c r="A10" s="7" t="s">
        <v>14</v>
      </c>
      <c r="B10" s="6">
        <f>128</f>
        <v>128</v>
      </c>
      <c r="C10" s="6">
        <v>2000</v>
      </c>
      <c r="D10" s="6">
        <v>0</v>
      </c>
      <c r="E10" s="6">
        <v>30</v>
      </c>
      <c r="F10" s="55">
        <f t="shared" si="0"/>
        <v>1.4999999999999999E-2</v>
      </c>
      <c r="G10" s="6"/>
    </row>
    <row r="11" spans="1:7" ht="15.6">
      <c r="A11" s="7" t="s">
        <v>15</v>
      </c>
      <c r="B11" s="6">
        <v>128</v>
      </c>
      <c r="C11" s="6">
        <v>2000</v>
      </c>
      <c r="D11" s="6">
        <v>0</v>
      </c>
      <c r="E11" s="6">
        <v>30</v>
      </c>
      <c r="F11" s="55">
        <f t="shared" si="0"/>
        <v>1.4999999999999999E-2</v>
      </c>
      <c r="G11" s="6"/>
    </row>
    <row r="12" spans="1:7" ht="15.6">
      <c r="A12" s="7"/>
      <c r="B12" s="6"/>
      <c r="C12" s="6"/>
      <c r="D12" s="6"/>
      <c r="E12" s="6"/>
      <c r="F12" s="55"/>
      <c r="G12" s="6"/>
    </row>
    <row r="13" spans="1:7" ht="15.6">
      <c r="A13" s="10" t="s">
        <v>16</v>
      </c>
      <c r="B13" s="57" t="str">
        <f>SUM(B2:B12)&amp;"元"</f>
        <v>618元</v>
      </c>
      <c r="C13" s="58" t="str">
        <f>SUM(C2:C11)&amp;"翡翠"</f>
        <v>9500翡翠</v>
      </c>
      <c r="D13" s="59" t="str">
        <f>SUM(D2:D11)&amp;"钻石"</f>
        <v>10000钻石</v>
      </c>
      <c r="E13" s="60" t="str">
        <f>SUM(E2:E11)&amp;"张"</f>
        <v>304张</v>
      </c>
      <c r="F13" s="56"/>
      <c r="G13" s="6"/>
    </row>
    <row r="14" spans="1:7" ht="15.6">
      <c r="A14" s="6"/>
      <c r="B14" s="6"/>
      <c r="C14" s="6"/>
      <c r="D14" s="6"/>
      <c r="E14" s="6"/>
      <c r="F14" s="6"/>
      <c r="G14" s="6"/>
    </row>
    <row r="15" spans="1:7" ht="15.6">
      <c r="A15" s="6"/>
      <c r="B15" s="6"/>
      <c r="C15" s="6"/>
      <c r="D15" s="6"/>
      <c r="E15" s="6"/>
      <c r="F15" s="6"/>
      <c r="G15" s="6"/>
    </row>
    <row r="16" spans="1:7" ht="15.6">
      <c r="A16" s="35" t="s">
        <v>17</v>
      </c>
      <c r="B16" s="35"/>
      <c r="C16" s="35"/>
      <c r="D16" s="35"/>
      <c r="E16" s="35"/>
      <c r="F16" s="35"/>
      <c r="G16" s="35"/>
    </row>
    <row r="17" spans="1:7" ht="15.6">
      <c r="A17" s="35"/>
      <c r="B17" s="35"/>
      <c r="C17" s="35"/>
      <c r="D17" s="35"/>
      <c r="E17" s="35"/>
      <c r="F17" s="35"/>
      <c r="G17" s="35"/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8"/>
  <sheetViews>
    <sheetView topLeftCell="G1" zoomScale="85" zoomScaleNormal="85" workbookViewId="0">
      <selection activeCell="P1" sqref="P1:Y38"/>
    </sheetView>
  </sheetViews>
  <sheetFormatPr defaultRowHeight="15.6"/>
  <cols>
    <col min="1" max="1" width="14.77734375" style="37" customWidth="1"/>
    <col min="2" max="4" width="11.77734375" style="37" customWidth="1"/>
    <col min="5" max="5" width="8.88671875" style="37"/>
    <col min="6" max="6" width="11.6640625" style="37" customWidth="1"/>
    <col min="7" max="7" width="7.6640625" style="37" customWidth="1"/>
    <col min="8" max="8" width="11.77734375" style="37" customWidth="1"/>
    <col min="9" max="9" width="12.33203125" style="37" customWidth="1"/>
    <col min="10" max="10" width="8.88671875" style="37"/>
    <col min="11" max="12" width="11.6640625" style="37" customWidth="1"/>
    <col min="13" max="13" width="5.6640625" style="37" customWidth="1"/>
    <col min="14" max="14" width="8.77734375" style="37" customWidth="1"/>
    <col min="15" max="15" width="9" style="37" customWidth="1"/>
    <col min="16" max="16" width="8.88671875" style="37"/>
    <col min="17" max="21" width="9" style="37" customWidth="1"/>
    <col min="22" max="22" width="16" style="37" customWidth="1"/>
    <col min="23" max="23" width="14.77734375" style="37" customWidth="1"/>
    <col min="24" max="16384" width="8.88671875" style="37"/>
  </cols>
  <sheetData>
    <row r="1" spans="1:25">
      <c r="A1" s="30" t="s">
        <v>18</v>
      </c>
      <c r="B1" s="31" t="s">
        <v>77</v>
      </c>
      <c r="F1" s="159" t="s">
        <v>19</v>
      </c>
      <c r="G1" s="159"/>
      <c r="H1" s="159"/>
      <c r="I1" s="159"/>
      <c r="K1" s="159" t="s">
        <v>20</v>
      </c>
      <c r="L1" s="159"/>
      <c r="M1" s="159"/>
      <c r="N1" s="159"/>
      <c r="O1" s="159"/>
      <c r="Q1" s="152" t="s">
        <v>21</v>
      </c>
      <c r="R1" s="152"/>
      <c r="S1" s="152"/>
      <c r="T1" s="152"/>
      <c r="U1" s="152"/>
      <c r="V1" s="152"/>
      <c r="W1" s="152"/>
      <c r="X1" s="152"/>
      <c r="Y1" s="152"/>
    </row>
    <row r="2" spans="1:25" ht="31.2">
      <c r="A2" s="7" t="s">
        <v>22</v>
      </c>
      <c r="B2" s="36" t="s">
        <v>79</v>
      </c>
      <c r="F2" s="6"/>
      <c r="G2" s="6" t="s">
        <v>24</v>
      </c>
      <c r="H2" s="6" t="s">
        <v>25</v>
      </c>
      <c r="I2" s="6" t="s">
        <v>26</v>
      </c>
      <c r="K2" s="6"/>
      <c r="L2" s="6" t="s">
        <v>25</v>
      </c>
      <c r="M2" s="6" t="s">
        <v>24</v>
      </c>
      <c r="N2" s="6" t="s">
        <v>27</v>
      </c>
      <c r="O2" s="6" t="s">
        <v>28</v>
      </c>
      <c r="Q2" s="37" t="str">
        <f>普通兑换道具</f>
        <v>香草冰淇淋</v>
      </c>
      <c r="R2" s="37" t="str">
        <f>高级兑换道具</f>
        <v>梦幻冰淇淋</v>
      </c>
      <c r="S2" s="37" t="s">
        <v>29</v>
      </c>
      <c r="T2" s="37" t="s">
        <v>30</v>
      </c>
      <c r="U2" s="37" t="s">
        <v>31</v>
      </c>
      <c r="V2" s="37" t="str">
        <f>"平均"&amp;普通兑换道具</f>
        <v>平均香草冰淇淋</v>
      </c>
      <c r="W2" s="37" t="str">
        <f>"平均"&amp;高级兑换道具</f>
        <v>平均梦幻冰淇淋</v>
      </c>
      <c r="X2" s="37" t="s">
        <v>128</v>
      </c>
      <c r="Y2" s="37" t="s">
        <v>129</v>
      </c>
    </row>
    <row r="3" spans="1:25">
      <c r="A3" s="10" t="s">
        <v>32</v>
      </c>
      <c r="B3" s="26" t="s">
        <v>80</v>
      </c>
      <c r="F3" s="6" t="s">
        <v>33</v>
      </c>
      <c r="G3" s="6">
        <v>1</v>
      </c>
      <c r="H3" s="43">
        <v>0.15770000000000001</v>
      </c>
      <c r="I3" s="6">
        <f>G3*H3*积分规则2</f>
        <v>0.15770000000000001</v>
      </c>
      <c r="K3" s="160" t="s">
        <v>23</v>
      </c>
      <c r="L3" s="161">
        <v>0.55000000000000004</v>
      </c>
      <c r="M3" s="6">
        <v>80</v>
      </c>
      <c r="N3" s="6">
        <v>55</v>
      </c>
      <c r="O3" s="6">
        <f>M3*N3</f>
        <v>4400</v>
      </c>
      <c r="P3" s="37">
        <v>1</v>
      </c>
      <c r="Q3" s="37">
        <v>7400</v>
      </c>
      <c r="R3" s="37">
        <v>70</v>
      </c>
      <c r="S3" s="37">
        <v>110</v>
      </c>
      <c r="T3" s="48">
        <f>Q3/S3</f>
        <v>67.272727272727266</v>
      </c>
      <c r="U3" s="48">
        <f>R3/S3</f>
        <v>0.63636363636363635</v>
      </c>
      <c r="V3" s="48">
        <f>AVERAGE(T3:T18)</f>
        <v>54.613636363636367</v>
      </c>
      <c r="W3" s="48">
        <f>AVERAGE(U3:U18)</f>
        <v>0.86022727272727273</v>
      </c>
      <c r="X3" s="48">
        <f>MEDIAN(T3:T18)</f>
        <v>54.909090909090907</v>
      </c>
      <c r="Y3" s="48">
        <f>MEDIAN(U3:U18)</f>
        <v>0.80909090909090908</v>
      </c>
    </row>
    <row r="4" spans="1:25">
      <c r="F4" s="6" t="s">
        <v>23</v>
      </c>
      <c r="G4" s="6">
        <v>1</v>
      </c>
      <c r="H4" s="43">
        <v>0.20449999999999999</v>
      </c>
      <c r="I4" s="6">
        <f>G4*H4*0</f>
        <v>0</v>
      </c>
      <c r="K4" s="160"/>
      <c r="L4" s="160"/>
      <c r="M4" s="6">
        <v>100</v>
      </c>
      <c r="N4" s="6">
        <v>40</v>
      </c>
      <c r="O4" s="6">
        <f t="shared" ref="O4:O7" si="0">M4*N4</f>
        <v>4000</v>
      </c>
      <c r="P4" s="37">
        <v>2</v>
      </c>
      <c r="Q4" s="37">
        <v>6500</v>
      </c>
      <c r="R4" s="37">
        <v>86</v>
      </c>
      <c r="S4" s="37">
        <v>110</v>
      </c>
      <c r="T4" s="48">
        <f t="shared" ref="T4:T16" si="1">Q4/S4</f>
        <v>59.090909090909093</v>
      </c>
      <c r="U4" s="48">
        <f t="shared" ref="U4:U16" si="2">R4/S4</f>
        <v>0.78181818181818186</v>
      </c>
    </row>
    <row r="5" spans="1:25">
      <c r="A5" s="32" t="s">
        <v>34</v>
      </c>
      <c r="B5" s="33" t="s">
        <v>35</v>
      </c>
      <c r="C5" s="34" t="s">
        <v>36</v>
      </c>
      <c r="F5" s="6"/>
      <c r="G5" s="6"/>
      <c r="H5" s="45" t="s">
        <v>16</v>
      </c>
      <c r="I5" s="46">
        <f>I4+I3</f>
        <v>0.15770000000000001</v>
      </c>
      <c r="K5" s="160"/>
      <c r="L5" s="160"/>
      <c r="M5" s="6">
        <v>160</v>
      </c>
      <c r="N5" s="6">
        <v>30</v>
      </c>
      <c r="O5" s="6">
        <f t="shared" si="0"/>
        <v>4800</v>
      </c>
      <c r="P5" s="37">
        <v>3</v>
      </c>
      <c r="Q5" s="37">
        <v>4780</v>
      </c>
      <c r="R5" s="37">
        <v>96</v>
      </c>
      <c r="S5" s="37">
        <v>110</v>
      </c>
      <c r="T5" s="48">
        <f t="shared" si="1"/>
        <v>43.454545454545453</v>
      </c>
      <c r="U5" s="48">
        <f t="shared" si="2"/>
        <v>0.87272727272727268</v>
      </c>
    </row>
    <row r="6" spans="1:25">
      <c r="A6" s="3" t="s">
        <v>37</v>
      </c>
      <c r="B6" s="1">
        <v>800</v>
      </c>
      <c r="C6" s="4">
        <v>0</v>
      </c>
      <c r="K6" s="160"/>
      <c r="L6" s="160"/>
      <c r="M6" s="37">
        <v>200</v>
      </c>
      <c r="N6" s="37">
        <v>25</v>
      </c>
      <c r="O6" s="6">
        <f t="shared" si="0"/>
        <v>5000</v>
      </c>
      <c r="P6" s="37">
        <v>4</v>
      </c>
      <c r="Q6" s="37">
        <v>8000</v>
      </c>
      <c r="R6" s="37">
        <v>64</v>
      </c>
      <c r="S6" s="37">
        <v>110</v>
      </c>
      <c r="T6" s="48">
        <f t="shared" si="1"/>
        <v>72.727272727272734</v>
      </c>
      <c r="U6" s="48">
        <f t="shared" si="2"/>
        <v>0.58181818181818179</v>
      </c>
    </row>
    <row r="7" spans="1:25">
      <c r="A7" s="3" t="s">
        <v>38</v>
      </c>
      <c r="B7" s="1">
        <v>2900</v>
      </c>
      <c r="C7" s="4">
        <v>6</v>
      </c>
      <c r="K7" s="160"/>
      <c r="L7" s="160"/>
      <c r="M7" s="37">
        <v>300</v>
      </c>
      <c r="N7" s="37">
        <v>15</v>
      </c>
      <c r="O7" s="6">
        <f t="shared" si="0"/>
        <v>4500</v>
      </c>
      <c r="P7" s="37">
        <v>5</v>
      </c>
      <c r="Q7" s="37">
        <v>6000</v>
      </c>
      <c r="R7" s="37">
        <v>126</v>
      </c>
      <c r="S7" s="37">
        <v>110</v>
      </c>
      <c r="T7" s="48">
        <f t="shared" si="1"/>
        <v>54.545454545454547</v>
      </c>
      <c r="U7" s="48">
        <f t="shared" si="2"/>
        <v>1.1454545454545455</v>
      </c>
    </row>
    <row r="8" spans="1:25">
      <c r="A8" s="3" t="s">
        <v>39</v>
      </c>
      <c r="B8" s="1">
        <v>4000</v>
      </c>
      <c r="C8" s="4">
        <v>18</v>
      </c>
      <c r="J8" s="47"/>
      <c r="K8" s="160"/>
      <c r="L8" s="162">
        <f>SUM(O3:O7)/SUM(N3:N7)</f>
        <v>137.57575757575756</v>
      </c>
      <c r="M8" s="162"/>
      <c r="N8" s="162"/>
      <c r="O8" s="162"/>
      <c r="P8" s="37">
        <v>6</v>
      </c>
      <c r="Q8" s="37">
        <v>8540</v>
      </c>
      <c r="R8" s="37">
        <v>80</v>
      </c>
      <c r="S8" s="37">
        <v>110</v>
      </c>
      <c r="T8" s="48">
        <f t="shared" si="1"/>
        <v>77.63636363636364</v>
      </c>
      <c r="U8" s="48">
        <f t="shared" si="2"/>
        <v>0.72727272727272729</v>
      </c>
    </row>
    <row r="9" spans="1:25">
      <c r="A9" s="3" t="s">
        <v>40</v>
      </c>
      <c r="B9" s="1">
        <v>7500</v>
      </c>
      <c r="C9" s="4">
        <v>78</v>
      </c>
      <c r="P9" s="37">
        <v>7</v>
      </c>
      <c r="Q9" s="37">
        <v>4140</v>
      </c>
      <c r="R9" s="37">
        <v>114</v>
      </c>
      <c r="S9" s="37">
        <v>110</v>
      </c>
      <c r="T9" s="48">
        <f t="shared" si="1"/>
        <v>37.636363636363633</v>
      </c>
      <c r="U9" s="48">
        <f t="shared" si="2"/>
        <v>1.0363636363636364</v>
      </c>
    </row>
    <row r="10" spans="1:25">
      <c r="A10" s="5" t="s">
        <v>41</v>
      </c>
      <c r="B10" s="11">
        <v>12200</v>
      </c>
      <c r="C10" s="15">
        <f>C9+75</f>
        <v>153</v>
      </c>
      <c r="P10" s="37">
        <v>8</v>
      </c>
      <c r="Q10" s="37">
        <v>3260</v>
      </c>
      <c r="R10" s="37">
        <v>92</v>
      </c>
      <c r="S10" s="37">
        <v>110</v>
      </c>
      <c r="T10" s="48">
        <f t="shared" si="1"/>
        <v>29.636363636363637</v>
      </c>
      <c r="U10" s="48">
        <f t="shared" si="2"/>
        <v>0.83636363636363631</v>
      </c>
    </row>
    <row r="11" spans="1:25">
      <c r="P11" s="37">
        <v>9</v>
      </c>
      <c r="Q11" s="37">
        <v>7700</v>
      </c>
      <c r="R11" s="37">
        <v>88</v>
      </c>
      <c r="S11" s="37">
        <v>110</v>
      </c>
      <c r="T11" s="48">
        <f t="shared" si="1"/>
        <v>70</v>
      </c>
      <c r="U11" s="48">
        <f t="shared" si="2"/>
        <v>0.8</v>
      </c>
    </row>
    <row r="12" spans="1:25">
      <c r="A12" s="163" t="s">
        <v>42</v>
      </c>
      <c r="B12" s="164"/>
      <c r="C12" s="165"/>
      <c r="P12" s="37">
        <v>10</v>
      </c>
      <c r="Q12" s="37">
        <v>5280</v>
      </c>
      <c r="R12" s="37">
        <v>90</v>
      </c>
      <c r="S12" s="37">
        <v>110</v>
      </c>
      <c r="T12" s="48">
        <f t="shared" si="1"/>
        <v>48</v>
      </c>
      <c r="U12" s="48">
        <f t="shared" si="2"/>
        <v>0.81818181818181823</v>
      </c>
    </row>
    <row r="13" spans="1:25">
      <c r="A13" s="3" t="s">
        <v>43</v>
      </c>
      <c r="B13" s="1">
        <v>20</v>
      </c>
      <c r="C13" s="4" t="s">
        <v>26</v>
      </c>
      <c r="P13" s="37">
        <v>11</v>
      </c>
      <c r="Q13" s="37">
        <v>6080</v>
      </c>
      <c r="R13" s="37">
        <v>120</v>
      </c>
      <c r="S13" s="37">
        <v>110</v>
      </c>
      <c r="T13" s="48">
        <f t="shared" si="1"/>
        <v>55.272727272727273</v>
      </c>
      <c r="U13" s="48">
        <f t="shared" si="2"/>
        <v>1.0909090909090908</v>
      </c>
    </row>
    <row r="14" spans="1:25">
      <c r="A14" s="5" t="s">
        <v>44</v>
      </c>
      <c r="B14" s="11">
        <v>1</v>
      </c>
      <c r="C14" s="15" t="s">
        <v>26</v>
      </c>
      <c r="P14" s="37">
        <v>12</v>
      </c>
      <c r="Q14" s="37">
        <v>5580</v>
      </c>
      <c r="R14" s="37">
        <v>74</v>
      </c>
      <c r="S14" s="37">
        <v>110</v>
      </c>
      <c r="T14" s="48">
        <f t="shared" si="1"/>
        <v>50.727272727272727</v>
      </c>
      <c r="U14" s="48">
        <f t="shared" si="2"/>
        <v>0.67272727272727273</v>
      </c>
    </row>
    <row r="15" spans="1:25">
      <c r="P15" s="37">
        <v>13</v>
      </c>
      <c r="Q15" s="37">
        <v>5700</v>
      </c>
      <c r="R15" s="37">
        <v>168</v>
      </c>
      <c r="S15" s="37">
        <v>110</v>
      </c>
      <c r="T15" s="48">
        <f t="shared" si="1"/>
        <v>51.81818181818182</v>
      </c>
      <c r="U15" s="48">
        <f t="shared" si="2"/>
        <v>1.5272727272727273</v>
      </c>
    </row>
    <row r="16" spans="1:25">
      <c r="A16" s="153" t="s">
        <v>45</v>
      </c>
      <c r="B16" s="154"/>
      <c r="C16" s="155"/>
      <c r="P16" s="37">
        <v>14</v>
      </c>
      <c r="Q16" s="37">
        <v>4020</v>
      </c>
      <c r="R16" s="37">
        <v>100</v>
      </c>
      <c r="S16" s="37">
        <v>110</v>
      </c>
      <c r="T16" s="48">
        <f t="shared" si="1"/>
        <v>36.545454545454547</v>
      </c>
      <c r="U16" s="48">
        <f t="shared" si="2"/>
        <v>0.90909090909090906</v>
      </c>
    </row>
    <row r="17" spans="1:25">
      <c r="A17" s="3" t="s">
        <v>43</v>
      </c>
      <c r="B17" s="1">
        <v>150</v>
      </c>
      <c r="C17" s="4" t="s">
        <v>46</v>
      </c>
      <c r="P17" s="37">
        <v>15</v>
      </c>
      <c r="Q17" s="37">
        <v>6680</v>
      </c>
      <c r="R17" s="37">
        <v>70</v>
      </c>
      <c r="S17" s="37">
        <v>110</v>
      </c>
      <c r="T17" s="48">
        <f>Q17/S17</f>
        <v>60.727272727272727</v>
      </c>
      <c r="U17" s="48">
        <f>R17/S17</f>
        <v>0.63636363636363635</v>
      </c>
    </row>
    <row r="18" spans="1:25">
      <c r="A18" s="5" t="s">
        <v>47</v>
      </c>
      <c r="B18" s="11">
        <v>100</v>
      </c>
      <c r="C18" s="15" t="s">
        <v>48</v>
      </c>
      <c r="P18" s="37">
        <v>16</v>
      </c>
      <c r="Q18" s="37">
        <v>6460</v>
      </c>
      <c r="R18" s="37">
        <v>76</v>
      </c>
      <c r="S18" s="37">
        <v>110</v>
      </c>
      <c r="T18" s="48">
        <f t="shared" ref="T18" si="3">Q18/S18</f>
        <v>58.727272727272727</v>
      </c>
      <c r="U18" s="48">
        <f t="shared" ref="U18" si="4">R18/S18</f>
        <v>0.69090909090909092</v>
      </c>
    </row>
    <row r="19" spans="1:25">
      <c r="T19" s="48"/>
      <c r="U19" s="48"/>
    </row>
    <row r="20" spans="1:25">
      <c r="A20" s="156" t="s">
        <v>49</v>
      </c>
      <c r="B20" s="157"/>
      <c r="C20" s="157"/>
      <c r="D20" s="158"/>
      <c r="T20" s="48"/>
      <c r="U20" s="48"/>
    </row>
    <row r="21" spans="1:25" ht="15.6" customHeight="1">
      <c r="A21" s="3" t="s">
        <v>24</v>
      </c>
      <c r="B21" s="1" t="s">
        <v>25</v>
      </c>
      <c r="C21" s="1" t="s">
        <v>50</v>
      </c>
      <c r="D21" s="4" t="s">
        <v>51</v>
      </c>
      <c r="Q21" s="152" t="s">
        <v>127</v>
      </c>
      <c r="R21" s="152"/>
      <c r="S21" s="152"/>
      <c r="T21" s="152"/>
      <c r="U21" s="152"/>
      <c r="V21" s="152"/>
      <c r="W21" s="152"/>
      <c r="X21" s="152"/>
      <c r="Y21" s="152"/>
    </row>
    <row r="22" spans="1:25" ht="31.2">
      <c r="A22" s="3">
        <v>10</v>
      </c>
      <c r="B22" s="2">
        <v>0.95</v>
      </c>
      <c r="C22" s="1">
        <f>B22*A22</f>
        <v>9.5</v>
      </c>
      <c r="D22" s="4">
        <f>C22*积分规则2</f>
        <v>9.5</v>
      </c>
      <c r="Q22" s="37" t="str">
        <f>普通兑换道具</f>
        <v>香草冰淇淋</v>
      </c>
      <c r="R22" s="37" t="str">
        <f>高级兑换道具</f>
        <v>梦幻冰淇淋</v>
      </c>
      <c r="S22" s="37" t="s">
        <v>29</v>
      </c>
      <c r="T22" s="37" t="s">
        <v>30</v>
      </c>
      <c r="U22" s="37" t="s">
        <v>31</v>
      </c>
      <c r="V22" s="37" t="str">
        <f>"平均"&amp;普通兑换道具</f>
        <v>平均香草冰淇淋</v>
      </c>
      <c r="W22" s="37" t="str">
        <f>"平均"&amp;高级兑换道具</f>
        <v>平均梦幻冰淇淋</v>
      </c>
      <c r="X22" s="37" t="s">
        <v>128</v>
      </c>
      <c r="Y22" s="37" t="s">
        <v>129</v>
      </c>
    </row>
    <row r="23" spans="1:25">
      <c r="A23" s="3">
        <v>15</v>
      </c>
      <c r="B23" s="28">
        <v>4.9000000000000002E-2</v>
      </c>
      <c r="C23" s="1">
        <f t="shared" ref="C23:C24" si="5">B23*A23</f>
        <v>0.73499999999999999</v>
      </c>
      <c r="D23" s="4">
        <f>C23*积分规则2</f>
        <v>0.73499999999999999</v>
      </c>
      <c r="P23" s="37">
        <v>1</v>
      </c>
      <c r="Q23" s="37">
        <v>4368</v>
      </c>
      <c r="R23" s="37">
        <v>78</v>
      </c>
      <c r="S23" s="37">
        <v>110</v>
      </c>
      <c r="T23" s="48">
        <f>Q23/S23</f>
        <v>39.709090909090911</v>
      </c>
      <c r="U23" s="48">
        <f>R23/S23</f>
        <v>0.70909090909090911</v>
      </c>
      <c r="V23" s="48">
        <f>AVERAGE(T23:T38)</f>
        <v>40.451561809194544</v>
      </c>
      <c r="W23" s="48">
        <f>AVERAGE(U23:U38)</f>
        <v>0.85537575901237406</v>
      </c>
      <c r="X23" s="48">
        <f>MEDIAN(T23:T30)</f>
        <v>44.426699426699429</v>
      </c>
      <c r="Y23" s="48">
        <f>MEDIAN(U23:U30)</f>
        <v>0.87522921151239741</v>
      </c>
    </row>
    <row r="24" spans="1:25">
      <c r="A24" s="3">
        <v>20</v>
      </c>
      <c r="B24" s="29">
        <v>1E-3</v>
      </c>
      <c r="C24" s="1">
        <f t="shared" si="5"/>
        <v>0.02</v>
      </c>
      <c r="D24" s="4">
        <f>C24*积分规则2</f>
        <v>0.02</v>
      </c>
      <c r="P24" s="37">
        <v>2</v>
      </c>
      <c r="Q24" s="37">
        <v>3680</v>
      </c>
      <c r="R24" s="37">
        <v>100</v>
      </c>
      <c r="S24" s="37">
        <v>111</v>
      </c>
      <c r="T24" s="48">
        <f>Q24/S24</f>
        <v>33.153153153153156</v>
      </c>
      <c r="U24" s="48">
        <f>R24/S24</f>
        <v>0.90090090090090091</v>
      </c>
    </row>
    <row r="25" spans="1:25">
      <c r="A25" s="5"/>
      <c r="B25" s="13" t="s">
        <v>16</v>
      </c>
      <c r="C25" s="13">
        <f>SUM(C22:C24)</f>
        <v>10.254999999999999</v>
      </c>
      <c r="D25" s="14">
        <f>C25*积分规则2</f>
        <v>10.254999999999999</v>
      </c>
      <c r="P25" s="37">
        <v>3</v>
      </c>
      <c r="Q25" s="37">
        <v>5360</v>
      </c>
      <c r="R25" s="37">
        <v>116</v>
      </c>
      <c r="S25" s="37">
        <v>110</v>
      </c>
      <c r="T25" s="48">
        <f t="shared" ref="T25:T38" si="6">Q25/S25</f>
        <v>48.727272727272727</v>
      </c>
      <c r="U25" s="48">
        <f t="shared" ref="U25:U38" si="7">R25/S25</f>
        <v>1.0545454545454545</v>
      </c>
    </row>
    <row r="26" spans="1:25">
      <c r="P26" s="37">
        <v>4</v>
      </c>
      <c r="Q26" s="37">
        <v>4700</v>
      </c>
      <c r="R26" s="37">
        <v>62</v>
      </c>
      <c r="S26" s="37">
        <v>110</v>
      </c>
      <c r="T26" s="48">
        <f t="shared" si="6"/>
        <v>42.727272727272727</v>
      </c>
      <c r="U26" s="48">
        <f t="shared" si="7"/>
        <v>0.5636363636363636</v>
      </c>
    </row>
    <row r="27" spans="1:25">
      <c r="A27" s="50" t="s">
        <v>52</v>
      </c>
      <c r="B27" s="51" t="s">
        <v>2</v>
      </c>
      <c r="P27" s="37">
        <v>5</v>
      </c>
      <c r="Q27" s="37">
        <v>5380</v>
      </c>
      <c r="R27" s="37">
        <v>100</v>
      </c>
      <c r="S27" s="37">
        <v>111</v>
      </c>
      <c r="T27" s="48">
        <f t="shared" si="6"/>
        <v>48.468468468468465</v>
      </c>
      <c r="U27" s="48">
        <f t="shared" si="7"/>
        <v>0.90090090090090091</v>
      </c>
    </row>
    <row r="28" spans="1:25">
      <c r="A28" s="3">
        <v>6</v>
      </c>
      <c r="B28" s="4">
        <v>100</v>
      </c>
      <c r="P28" s="37">
        <v>6</v>
      </c>
      <c r="Q28" s="37">
        <v>5460</v>
      </c>
      <c r="R28" s="37">
        <v>96</v>
      </c>
      <c r="S28" s="37">
        <v>113</v>
      </c>
      <c r="T28" s="48">
        <f t="shared" si="6"/>
        <v>48.318584070796462</v>
      </c>
      <c r="U28" s="48">
        <f t="shared" si="7"/>
        <v>0.84955752212389379</v>
      </c>
    </row>
    <row r="29" spans="1:25">
      <c r="A29" s="3">
        <v>30</v>
      </c>
      <c r="B29" s="4">
        <v>500</v>
      </c>
      <c r="P29" s="37">
        <v>7</v>
      </c>
      <c r="Q29" s="37">
        <v>4420</v>
      </c>
      <c r="R29" s="37">
        <v>88</v>
      </c>
      <c r="S29" s="37">
        <v>111</v>
      </c>
      <c r="T29" s="37">
        <f t="shared" si="6"/>
        <v>39.81981981981982</v>
      </c>
      <c r="U29" s="37">
        <f t="shared" si="7"/>
        <v>0.7927927927927928</v>
      </c>
    </row>
    <row r="30" spans="1:25">
      <c r="A30" s="3">
        <v>68</v>
      </c>
      <c r="B30" s="4">
        <v>1000</v>
      </c>
      <c r="P30" s="37">
        <v>8</v>
      </c>
      <c r="Q30" s="37">
        <v>5120</v>
      </c>
      <c r="R30" s="37">
        <v>108</v>
      </c>
      <c r="S30" s="37">
        <v>111</v>
      </c>
      <c r="T30" s="37">
        <f t="shared" si="6"/>
        <v>46.126126126126124</v>
      </c>
      <c r="U30" s="37">
        <f t="shared" si="7"/>
        <v>0.97297297297297303</v>
      </c>
    </row>
    <row r="31" spans="1:25">
      <c r="A31" s="3">
        <v>98</v>
      </c>
      <c r="B31" s="4">
        <v>1500</v>
      </c>
      <c r="P31" s="37">
        <v>9</v>
      </c>
      <c r="Q31" s="37">
        <v>3360</v>
      </c>
      <c r="R31" s="37">
        <v>122</v>
      </c>
      <c r="S31" s="37">
        <v>113</v>
      </c>
      <c r="T31" s="37">
        <f t="shared" si="6"/>
        <v>29.734513274336283</v>
      </c>
      <c r="U31" s="37">
        <f t="shared" si="7"/>
        <v>1.0796460176991149</v>
      </c>
    </row>
    <row r="32" spans="1:25">
      <c r="A32" s="3">
        <v>128</v>
      </c>
      <c r="B32" s="4">
        <v>2000</v>
      </c>
      <c r="P32" s="37">
        <v>10</v>
      </c>
      <c r="Q32" s="37">
        <v>5240</v>
      </c>
      <c r="R32" s="37">
        <v>98</v>
      </c>
      <c r="S32" s="37">
        <v>111</v>
      </c>
      <c r="T32" s="37">
        <f t="shared" si="6"/>
        <v>47.207207207207205</v>
      </c>
      <c r="U32" s="37">
        <f t="shared" si="7"/>
        <v>0.88288288288288286</v>
      </c>
    </row>
    <row r="33" spans="1:21">
      <c r="A33" s="3">
        <v>198</v>
      </c>
      <c r="B33" s="4">
        <v>3000</v>
      </c>
      <c r="P33" s="37">
        <v>11</v>
      </c>
      <c r="Q33" s="37">
        <v>5040</v>
      </c>
      <c r="R33" s="37">
        <v>86</v>
      </c>
      <c r="S33" s="37">
        <v>112</v>
      </c>
      <c r="T33" s="37">
        <f t="shared" si="6"/>
        <v>45</v>
      </c>
      <c r="U33" s="37">
        <f t="shared" si="7"/>
        <v>0.7678571428571429</v>
      </c>
    </row>
    <row r="34" spans="1:21">
      <c r="A34" s="3">
        <v>328</v>
      </c>
      <c r="B34" s="4">
        <v>5000</v>
      </c>
      <c r="P34" s="37">
        <v>12</v>
      </c>
      <c r="Q34" s="37">
        <v>3760</v>
      </c>
      <c r="R34" s="37">
        <v>126</v>
      </c>
      <c r="S34" s="37">
        <v>110</v>
      </c>
      <c r="T34" s="37">
        <f t="shared" si="6"/>
        <v>34.18181818181818</v>
      </c>
      <c r="U34" s="37">
        <f t="shared" si="7"/>
        <v>1.1454545454545455</v>
      </c>
    </row>
    <row r="35" spans="1:21">
      <c r="A35" s="5">
        <v>648</v>
      </c>
      <c r="B35" s="15">
        <v>10000</v>
      </c>
      <c r="P35" s="37">
        <v>13</v>
      </c>
      <c r="Q35" s="37">
        <v>4380</v>
      </c>
      <c r="R35" s="37">
        <v>50</v>
      </c>
      <c r="S35" s="37">
        <v>111</v>
      </c>
      <c r="T35" s="37">
        <f t="shared" si="6"/>
        <v>39.45945945945946</v>
      </c>
      <c r="U35" s="37">
        <f t="shared" si="7"/>
        <v>0.45045045045045046</v>
      </c>
    </row>
    <row r="36" spans="1:21">
      <c r="P36" s="37">
        <v>14</v>
      </c>
      <c r="Q36" s="37">
        <v>2960</v>
      </c>
      <c r="R36" s="37">
        <v>100</v>
      </c>
      <c r="S36" s="37">
        <v>111</v>
      </c>
      <c r="T36" s="37">
        <f t="shared" si="6"/>
        <v>26.666666666666668</v>
      </c>
      <c r="U36" s="37">
        <f t="shared" si="7"/>
        <v>0.90090090090090091</v>
      </c>
    </row>
    <row r="37" spans="1:21">
      <c r="P37" s="37">
        <v>15</v>
      </c>
      <c r="Q37" s="37">
        <v>5100</v>
      </c>
      <c r="R37" s="37">
        <v>96</v>
      </c>
      <c r="S37" s="37">
        <v>113</v>
      </c>
      <c r="T37" s="37">
        <f t="shared" si="6"/>
        <v>45.13274336283186</v>
      </c>
      <c r="U37" s="37">
        <f t="shared" si="7"/>
        <v>0.84955752212389379</v>
      </c>
    </row>
    <row r="38" spans="1:21">
      <c r="P38" s="37">
        <v>16</v>
      </c>
      <c r="Q38" s="37">
        <v>3640</v>
      </c>
      <c r="R38" s="37">
        <v>96</v>
      </c>
      <c r="S38" s="37">
        <v>111</v>
      </c>
      <c r="T38" s="37">
        <f t="shared" si="6"/>
        <v>32.792792792792795</v>
      </c>
      <c r="U38" s="37">
        <f t="shared" si="7"/>
        <v>0.86486486486486491</v>
      </c>
    </row>
  </sheetData>
  <mergeCells count="10">
    <mergeCell ref="Q1:Y1"/>
    <mergeCell ref="Q21:Y21"/>
    <mergeCell ref="A16:C16"/>
    <mergeCell ref="A20:D20"/>
    <mergeCell ref="F1:I1"/>
    <mergeCell ref="K1:O1"/>
    <mergeCell ref="K3:K8"/>
    <mergeCell ref="L3:L7"/>
    <mergeCell ref="L8:O8"/>
    <mergeCell ref="A12:C12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72"/>
  <sheetViews>
    <sheetView tabSelected="1" topLeftCell="A19" workbookViewId="0">
      <selection activeCell="S21" sqref="S21"/>
    </sheetView>
  </sheetViews>
  <sheetFormatPr defaultRowHeight="15.6"/>
  <cols>
    <col min="1" max="1" width="3.77734375" style="1" customWidth="1"/>
    <col min="2" max="2" width="13.3320312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6"/>
      <c r="C2" s="173" t="s">
        <v>53</v>
      </c>
      <c r="D2" s="174"/>
      <c r="E2" s="173" t="s">
        <v>54</v>
      </c>
      <c r="F2" s="174"/>
      <c r="G2" s="173" t="s">
        <v>55</v>
      </c>
      <c r="H2" s="174"/>
      <c r="I2" s="173" t="s">
        <v>56</v>
      </c>
      <c r="J2" s="174"/>
      <c r="K2" s="173" t="s">
        <v>57</v>
      </c>
      <c r="L2" s="174"/>
      <c r="M2" s="173" t="s">
        <v>58</v>
      </c>
      <c r="N2" s="174"/>
      <c r="O2" s="173" t="s">
        <v>59</v>
      </c>
      <c r="P2" s="174"/>
    </row>
    <row r="3" spans="2:16" ht="16.2" thickBot="1">
      <c r="B3" s="17"/>
      <c r="C3" s="3" t="str">
        <f>抽奖道具</f>
        <v>刮刮券</v>
      </c>
      <c r="D3" s="4" t="s">
        <v>26</v>
      </c>
      <c r="E3" s="3" t="str">
        <f>抽奖道具</f>
        <v>刮刮券</v>
      </c>
      <c r="F3" s="4" t="s">
        <v>26</v>
      </c>
      <c r="G3" s="3" t="str">
        <f>抽奖道具</f>
        <v>刮刮券</v>
      </c>
      <c r="H3" s="4" t="s">
        <v>26</v>
      </c>
      <c r="I3" s="3" t="str">
        <f>抽奖道具</f>
        <v>刮刮券</v>
      </c>
      <c r="J3" s="4" t="s">
        <v>26</v>
      </c>
      <c r="K3" s="3" t="str">
        <f>抽奖道具</f>
        <v>刮刮券</v>
      </c>
      <c r="L3" s="4" t="s">
        <v>26</v>
      </c>
      <c r="M3" s="3" t="str">
        <f>抽奖道具</f>
        <v>刮刮券</v>
      </c>
      <c r="N3" s="4" t="s">
        <v>26</v>
      </c>
      <c r="O3" s="3" t="str">
        <f>抽奖道具</f>
        <v>刮刮券</v>
      </c>
      <c r="P3" s="4" t="s">
        <v>26</v>
      </c>
    </row>
    <row r="4" spans="2:16" ht="16.2" thickTop="1">
      <c r="B4" s="103" t="s">
        <v>122</v>
      </c>
      <c r="C4" s="3">
        <v>5</v>
      </c>
      <c r="D4" s="4">
        <f t="shared" ref="D4:D11" si="0">C4*积分规则1</f>
        <v>100</v>
      </c>
      <c r="E4" s="3"/>
      <c r="F4" s="4">
        <f t="shared" ref="F4:F11" si="1">E4*积分规则1</f>
        <v>0</v>
      </c>
      <c r="G4" s="3"/>
      <c r="H4" s="4">
        <f t="shared" ref="H4:H11" si="2">G4*积分规则1</f>
        <v>0</v>
      </c>
      <c r="I4" s="3"/>
      <c r="J4" s="4">
        <f t="shared" ref="J4:J11" si="3">I4*积分规则1</f>
        <v>0</v>
      </c>
      <c r="K4" s="3"/>
      <c r="L4" s="4">
        <f t="shared" ref="L4:L11" si="4">K4*积分规则1</f>
        <v>0</v>
      </c>
      <c r="M4" s="3"/>
      <c r="N4" s="4">
        <f t="shared" ref="N4:N11" si="5">M4*积分规则1</f>
        <v>0</v>
      </c>
      <c r="O4" s="3"/>
      <c r="P4" s="4">
        <f t="shared" ref="P4:P11" si="6">O4*积分规则1</f>
        <v>0</v>
      </c>
    </row>
    <row r="5" spans="2:16">
      <c r="B5" s="17" t="s">
        <v>61</v>
      </c>
      <c r="C5" s="3">
        <v>43</v>
      </c>
      <c r="D5" s="4">
        <f t="shared" si="0"/>
        <v>860</v>
      </c>
      <c r="E5" s="3">
        <v>43</v>
      </c>
      <c r="F5" s="4">
        <f t="shared" si="1"/>
        <v>860</v>
      </c>
      <c r="G5" s="3">
        <v>43</v>
      </c>
      <c r="H5" s="4">
        <f t="shared" si="2"/>
        <v>860</v>
      </c>
      <c r="I5" s="3">
        <v>43</v>
      </c>
      <c r="J5" s="4">
        <f t="shared" si="3"/>
        <v>860</v>
      </c>
      <c r="K5" s="3">
        <v>43</v>
      </c>
      <c r="L5" s="4">
        <f t="shared" si="4"/>
        <v>860</v>
      </c>
      <c r="M5" s="3">
        <v>43</v>
      </c>
      <c r="N5" s="4">
        <f t="shared" si="5"/>
        <v>860</v>
      </c>
      <c r="O5" s="3">
        <v>43</v>
      </c>
      <c r="P5" s="4">
        <f t="shared" si="6"/>
        <v>860</v>
      </c>
    </row>
    <row r="6" spans="2:16">
      <c r="B6" s="18" t="s">
        <v>45</v>
      </c>
      <c r="C6" s="3">
        <v>100</v>
      </c>
      <c r="D6" s="4">
        <f t="shared" si="0"/>
        <v>2000</v>
      </c>
      <c r="E6" s="3">
        <v>100</v>
      </c>
      <c r="F6" s="4">
        <f t="shared" si="1"/>
        <v>2000</v>
      </c>
      <c r="G6" s="3">
        <v>100</v>
      </c>
      <c r="H6" s="4">
        <f t="shared" si="2"/>
        <v>2000</v>
      </c>
      <c r="I6" s="3">
        <v>100</v>
      </c>
      <c r="J6" s="4">
        <f t="shared" si="3"/>
        <v>2000</v>
      </c>
      <c r="K6" s="3">
        <v>100</v>
      </c>
      <c r="L6" s="4">
        <f t="shared" si="4"/>
        <v>2000</v>
      </c>
      <c r="M6" s="3">
        <v>100</v>
      </c>
      <c r="N6" s="4">
        <f t="shared" si="5"/>
        <v>2000</v>
      </c>
      <c r="O6" s="3">
        <v>100</v>
      </c>
      <c r="P6" s="4">
        <f t="shared" si="6"/>
        <v>2000</v>
      </c>
    </row>
    <row r="7" spans="2:16">
      <c r="B7" s="17" t="s">
        <v>118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/>
      <c r="L7" s="4">
        <f t="shared" si="4"/>
        <v>0</v>
      </c>
      <c r="M7" s="3"/>
      <c r="N7" s="4">
        <f t="shared" si="5"/>
        <v>0</v>
      </c>
      <c r="O7" s="3"/>
      <c r="P7" s="4">
        <f t="shared" si="6"/>
        <v>0</v>
      </c>
    </row>
    <row r="8" spans="2:16">
      <c r="B8" s="17" t="s">
        <v>119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 ht="16.2" thickBot="1">
      <c r="B9" s="104" t="s">
        <v>117</v>
      </c>
      <c r="C9" s="3"/>
      <c r="D9" s="4">
        <f t="shared" si="0"/>
        <v>0</v>
      </c>
      <c r="E9" s="3"/>
      <c r="F9" s="4">
        <f t="shared" si="1"/>
        <v>0</v>
      </c>
      <c r="G9" s="3"/>
      <c r="H9" s="4">
        <f t="shared" si="2"/>
        <v>0</v>
      </c>
      <c r="I9" s="3"/>
      <c r="J9" s="4">
        <f t="shared" si="3"/>
        <v>0</v>
      </c>
      <c r="K9" s="3"/>
      <c r="L9" s="4">
        <f t="shared" si="4"/>
        <v>0</v>
      </c>
      <c r="M9" s="3"/>
      <c r="N9" s="4">
        <f t="shared" si="5"/>
        <v>0</v>
      </c>
      <c r="O9" s="3"/>
      <c r="P9" s="4">
        <f t="shared" si="6"/>
        <v>0</v>
      </c>
    </row>
    <row r="10" spans="2:16" ht="16.2" thickTop="1">
      <c r="B10" s="105" t="s">
        <v>120</v>
      </c>
      <c r="C10" s="3"/>
      <c r="D10" s="4">
        <f t="shared" si="0"/>
        <v>0</v>
      </c>
      <c r="E10" s="3"/>
      <c r="F10" s="4">
        <f t="shared" si="1"/>
        <v>0</v>
      </c>
      <c r="G10" s="3"/>
      <c r="H10" s="4">
        <f t="shared" si="2"/>
        <v>0</v>
      </c>
      <c r="I10" s="3"/>
      <c r="J10" s="4">
        <f t="shared" si="3"/>
        <v>0</v>
      </c>
      <c r="K10" s="3"/>
      <c r="L10" s="4">
        <f t="shared" si="4"/>
        <v>0</v>
      </c>
      <c r="M10" s="3"/>
      <c r="N10" s="4">
        <f t="shared" si="5"/>
        <v>0</v>
      </c>
      <c r="O10" s="3"/>
      <c r="P10" s="4">
        <f t="shared" si="6"/>
        <v>0</v>
      </c>
    </row>
    <row r="11" spans="2:16" ht="16.2" thickBot="1">
      <c r="B11" s="106" t="s">
        <v>121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Top="1">
      <c r="B12" s="114" t="str">
        <f>"使用"&amp;抽奖道具</f>
        <v>使用刮刮券</v>
      </c>
      <c r="C12" s="3">
        <v>0</v>
      </c>
      <c r="D12" s="4">
        <f>C12*实测高级道具*积分规则2</f>
        <v>0</v>
      </c>
      <c r="E12" s="3">
        <v>50</v>
      </c>
      <c r="F12" s="113">
        <f>E12*实测高级道具*积分规则2</f>
        <v>43.011363636363633</v>
      </c>
      <c r="G12" s="3">
        <v>50</v>
      </c>
      <c r="H12" s="113">
        <f>G12*实测高级道具*积分规则2</f>
        <v>43.011363636363633</v>
      </c>
      <c r="I12" s="3">
        <v>50</v>
      </c>
      <c r="J12" s="113">
        <f>I12*实测高级道具*积分规则2</f>
        <v>43.011363636363633</v>
      </c>
      <c r="K12" s="3">
        <v>50</v>
      </c>
      <c r="L12" s="113">
        <f>K12*实测高级道具*积分规则2</f>
        <v>43.011363636363633</v>
      </c>
      <c r="M12" s="3">
        <v>50</v>
      </c>
      <c r="N12" s="113">
        <f>M12*实测高级道具*积分规则2</f>
        <v>43.011363636363633</v>
      </c>
      <c r="O12" s="3">
        <v>756</v>
      </c>
      <c r="P12" s="113">
        <f>O12*实测高级道具*积分规则2</f>
        <v>650.33181818181822</v>
      </c>
    </row>
    <row r="13" spans="2:16" ht="16.2" thickBot="1">
      <c r="B13" s="107" t="str">
        <f>"剩余"&amp;抽奖道具</f>
        <v>剩余刮刮券</v>
      </c>
      <c r="C13" s="3">
        <f>C20-C12</f>
        <v>148</v>
      </c>
      <c r="D13" s="4"/>
      <c r="E13" s="3">
        <f>C13+SUM(E4:E11)-E12</f>
        <v>241</v>
      </c>
      <c r="F13" s="4"/>
      <c r="G13" s="3">
        <f>E13+SUM(G4:G11)-G12</f>
        <v>334</v>
      </c>
      <c r="H13" s="4"/>
      <c r="I13" s="3">
        <f>G13+SUM(I4:I11)-I12</f>
        <v>427</v>
      </c>
      <c r="J13" s="4"/>
      <c r="K13" s="3">
        <f>I13+SUM(K4:K11)-K12</f>
        <v>520</v>
      </c>
      <c r="L13" s="4"/>
      <c r="M13" s="3">
        <f>K13+SUM(M4:M11)-M12</f>
        <v>613</v>
      </c>
      <c r="N13" s="4"/>
      <c r="O13" s="3">
        <f>M13+SUM(O4:O11)-O12</f>
        <v>0</v>
      </c>
      <c r="P13" s="4"/>
    </row>
    <row r="14" spans="2:16" ht="16.2" thickTop="1">
      <c r="B14" s="108" t="s">
        <v>63</v>
      </c>
      <c r="C14" s="3">
        <v>0</v>
      </c>
      <c r="D14" s="4">
        <f>C14*随机箱积分</f>
        <v>0</v>
      </c>
      <c r="E14" s="3">
        <v>0</v>
      </c>
      <c r="F14" s="4">
        <f>E14*随机箱积分</f>
        <v>0</v>
      </c>
      <c r="G14" s="3">
        <v>0</v>
      </c>
      <c r="H14" s="4">
        <f>G14*随机箱积分</f>
        <v>0</v>
      </c>
      <c r="I14" s="3">
        <v>0</v>
      </c>
      <c r="J14" s="4">
        <f>I14*随机箱积分</f>
        <v>0</v>
      </c>
      <c r="K14" s="3">
        <v>0</v>
      </c>
      <c r="L14" s="4">
        <f>K14*随机箱积分</f>
        <v>0</v>
      </c>
      <c r="M14" s="3">
        <v>0</v>
      </c>
      <c r="N14" s="4">
        <f>M14*随机箱积分</f>
        <v>0</v>
      </c>
      <c r="O14" s="3">
        <v>54</v>
      </c>
      <c r="P14" s="113">
        <f>O14*随机箱积分</f>
        <v>553.77</v>
      </c>
    </row>
    <row r="15" spans="2:16" ht="16.2" thickBot="1">
      <c r="B15" s="107" t="s">
        <v>64</v>
      </c>
      <c r="C15" s="3">
        <f>C21-SUM(C14)</f>
        <v>6</v>
      </c>
      <c r="D15" s="4"/>
      <c r="E15" s="3">
        <f>E21-SUM(C14,E14)</f>
        <v>12</v>
      </c>
      <c r="F15" s="4"/>
      <c r="G15" s="3">
        <f>G21-SUM(C14,E14,G14)</f>
        <v>18</v>
      </c>
      <c r="H15" s="4"/>
      <c r="I15" s="3">
        <f>I21-SUM(C14,E14,G14,I14)</f>
        <v>24</v>
      </c>
      <c r="J15" s="4"/>
      <c r="K15" s="3">
        <f>K21-SUM(C14,E14,G14,I14,K14)</f>
        <v>30</v>
      </c>
      <c r="L15" s="4"/>
      <c r="M15" s="3">
        <f>M21-SUM(C14,E14,G14,I14,K14,M14)</f>
        <v>36</v>
      </c>
      <c r="N15" s="4"/>
      <c r="O15" s="3">
        <f>O21-SUM(C14,E14,G14,I14,K14,M14,O14)</f>
        <v>0</v>
      </c>
      <c r="P15" s="4"/>
    </row>
    <row r="16" spans="2:16" ht="16.2" thickTop="1">
      <c r="B16" s="109" t="s">
        <v>123</v>
      </c>
      <c r="C16" s="3">
        <v>0</v>
      </c>
      <c r="D16" s="4">
        <f>C16*积分规则2</f>
        <v>0</v>
      </c>
      <c r="E16" s="3">
        <v>0</v>
      </c>
      <c r="F16" s="4">
        <f>E16*积分规则2</f>
        <v>0</v>
      </c>
      <c r="G16" s="3">
        <v>0</v>
      </c>
      <c r="H16" s="4">
        <f>G16*积分规则2</f>
        <v>0</v>
      </c>
      <c r="I16" s="3">
        <v>0</v>
      </c>
      <c r="J16" s="4">
        <f>I16*积分规则2</f>
        <v>0</v>
      </c>
      <c r="K16" s="3">
        <v>0</v>
      </c>
      <c r="L16" s="4">
        <f>K16*积分规则2</f>
        <v>0</v>
      </c>
      <c r="M16" s="3">
        <v>0</v>
      </c>
      <c r="N16" s="4">
        <f>M16*积分规则2</f>
        <v>0</v>
      </c>
      <c r="O16" s="3">
        <v>100</v>
      </c>
      <c r="P16" s="4">
        <f>O16*积分规则2</f>
        <v>100</v>
      </c>
    </row>
    <row r="17" spans="2:16">
      <c r="B17" s="17" t="s">
        <v>124</v>
      </c>
      <c r="C17" s="3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  <c r="O17" s="3"/>
      <c r="P17" s="4"/>
    </row>
    <row r="18" spans="2:16" ht="16.2" thickBot="1">
      <c r="B18" s="17" t="s">
        <v>124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8" thickTop="1" thickBot="1">
      <c r="B19" s="116" t="s">
        <v>126</v>
      </c>
      <c r="C19" s="117" t="str">
        <f>IFERROR(LOOKUP(D19,档位积分1:档位积分5,第1档:第5档),"无奖励")</f>
        <v>第2档</v>
      </c>
      <c r="D19" s="118">
        <f>SUM(D4:D12)+D14+SUM(D16:D18)</f>
        <v>2960</v>
      </c>
      <c r="E19" s="119" t="str">
        <f>IFERROR(LOOKUP(F19,档位积分1:档位积分5,第1档:第5档),"无奖励")</f>
        <v>第2档</v>
      </c>
      <c r="F19" s="118">
        <f>SUM(F4:F12)+F14+SUM(F16:F18)</f>
        <v>2903.0113636363635</v>
      </c>
      <c r="G19" s="119" t="str">
        <f>IFERROR(LOOKUP(H19,档位积分1:档位积分5,第1档:第5档),"无奖励")</f>
        <v>第2档</v>
      </c>
      <c r="H19" s="118">
        <f>SUM(H4:H12)+H14+SUM(H16:H18)</f>
        <v>2903.0113636363635</v>
      </c>
      <c r="I19" s="119" t="str">
        <f>IFERROR(LOOKUP(J19,档位积分1:档位积分5,第1档:第5档),"无奖励")</f>
        <v>第2档</v>
      </c>
      <c r="J19" s="118">
        <f>SUM(J4:J12)+J14+SUM(J16:J18)</f>
        <v>2903.0113636363635</v>
      </c>
      <c r="K19" s="119" t="str">
        <f>IFERROR(LOOKUP(L19,档位积分1:档位积分5,第1档:第5档),"无奖励")</f>
        <v>第2档</v>
      </c>
      <c r="L19" s="118">
        <f>SUM(L4:L12)+L14+SUM(L16:L18)</f>
        <v>2903.0113636363635</v>
      </c>
      <c r="M19" s="119" t="str">
        <f>IFERROR(LOOKUP(N19,档位积分1:档位积分5,第1档:第5档),"无奖励")</f>
        <v>第2档</v>
      </c>
      <c r="N19" s="118">
        <f>SUM(N4:N12)+N14+SUM(N16:N18)</f>
        <v>2903.0113636363635</v>
      </c>
      <c r="O19" s="119" t="str">
        <f>IFERROR(LOOKUP(P19,档位积分1:档位积分5,第1档:第5档),"无奖励")</f>
        <v>第3档</v>
      </c>
      <c r="P19" s="118">
        <f>SUM(P4:P12)+P14+SUM(P16:P18)</f>
        <v>4164.1018181818181</v>
      </c>
    </row>
    <row r="20" spans="2:16" ht="16.2" thickTop="1">
      <c r="B20" s="115" t="str">
        <f>"总"&amp;抽奖道具</f>
        <v>总刮刮券</v>
      </c>
      <c r="C20" s="101">
        <f>SUM(C4:C11)</f>
        <v>148</v>
      </c>
      <c r="D20" s="102">
        <f>C12*实测高级道具*积分规则2</f>
        <v>0</v>
      </c>
      <c r="E20" s="101">
        <f>C20+SUM(E4:E11)</f>
        <v>291</v>
      </c>
      <c r="F20" s="102">
        <v>0</v>
      </c>
      <c r="G20" s="101">
        <f>E20+SUM(G4:G11)</f>
        <v>434</v>
      </c>
      <c r="H20" s="102">
        <v>0</v>
      </c>
      <c r="I20" s="101">
        <f>G20+SUM(I4:I11)</f>
        <v>577</v>
      </c>
      <c r="J20" s="102">
        <v>0</v>
      </c>
      <c r="K20" s="101">
        <f>I20+SUM(K4:K11)</f>
        <v>720</v>
      </c>
      <c r="L20" s="102">
        <v>0</v>
      </c>
      <c r="M20" s="101">
        <f>K20+SUM(M4:M11)</f>
        <v>863</v>
      </c>
      <c r="N20" s="102">
        <v>0</v>
      </c>
      <c r="O20" s="101">
        <f>M20+SUM(O4:O11)</f>
        <v>1006</v>
      </c>
      <c r="P20" s="102">
        <v>0</v>
      </c>
    </row>
    <row r="21" spans="2:16" ht="16.2" thickBot="1">
      <c r="B21" s="100" t="s">
        <v>125</v>
      </c>
      <c r="C21" s="5">
        <f>IFERROR(LOOKUP(D19,档位积分1:档位积分5,档位奖励1:档位奖励5),0)</f>
        <v>6</v>
      </c>
      <c r="D21" s="15">
        <f>C21*随机箱积分</f>
        <v>61.529999999999994</v>
      </c>
      <c r="E21" s="5">
        <f>IFERROR(LOOKUP(F19,档位积分1:档位积分5,档位奖励1:档位奖励5),0)+C21</f>
        <v>12</v>
      </c>
      <c r="F21" s="15">
        <f>E21*随机箱积分</f>
        <v>123.05999999999999</v>
      </c>
      <c r="G21" s="5">
        <f>IFERROR(LOOKUP(H19,档位积分1:档位积分5,档位奖励1:档位奖励5),0)+E21</f>
        <v>18</v>
      </c>
      <c r="H21" s="15">
        <f>G21*随机箱积分</f>
        <v>184.58999999999997</v>
      </c>
      <c r="I21" s="5">
        <f>IFERROR(LOOKUP(J19,档位积分1:档位积分5,档位奖励1:档位奖励5),0)+G21</f>
        <v>24</v>
      </c>
      <c r="J21" s="15">
        <f>I21*随机箱积分</f>
        <v>246.11999999999998</v>
      </c>
      <c r="K21" s="5">
        <f>IFERROR(LOOKUP(L19,档位积分1:档位积分5,档位奖励1:档位奖励5),0)+I21</f>
        <v>30</v>
      </c>
      <c r="L21" s="15">
        <f>K21*随机箱积分</f>
        <v>307.64999999999998</v>
      </c>
      <c r="M21" s="5">
        <f>IFERROR(LOOKUP(N19,档位积分1:档位积分5,档位奖励1:档位奖励5),0)+K21</f>
        <v>36</v>
      </c>
      <c r="N21" s="15">
        <f>M21*随机箱积分</f>
        <v>369.17999999999995</v>
      </c>
      <c r="O21" s="5">
        <f>IFERROR(LOOKUP(P19,档位积分1:档位积分5,档位奖励1:档位奖励5),0)+M21</f>
        <v>54</v>
      </c>
      <c r="P21" s="15">
        <f>O21*随机箱积分</f>
        <v>553.77</v>
      </c>
    </row>
    <row r="22" spans="2:16" ht="16.2" thickTop="1">
      <c r="B22" s="103" t="str">
        <f>普通兑换道具</f>
        <v>香草冰淇淋</v>
      </c>
      <c r="C22" s="101">
        <f>C12*实测普通道具</f>
        <v>0</v>
      </c>
      <c r="D22" s="102"/>
      <c r="E22" s="120">
        <f>E12*实测普通道具+C22</f>
        <v>2730.6818181818185</v>
      </c>
      <c r="F22" s="121"/>
      <c r="G22" s="120">
        <f>G12*实测普通道具+E22</f>
        <v>5461.3636363636369</v>
      </c>
      <c r="H22" s="121"/>
      <c r="I22" s="120">
        <f>I12*实测普通道具+G22</f>
        <v>8192.0454545454559</v>
      </c>
      <c r="J22" s="121"/>
      <c r="K22" s="120">
        <f>K12*实测普通道具+I22</f>
        <v>10922.727272727274</v>
      </c>
      <c r="L22" s="121"/>
      <c r="M22" s="120">
        <f>M12*实测普通道具+K22</f>
        <v>13653.409090909092</v>
      </c>
      <c r="N22" s="121"/>
      <c r="O22" s="120">
        <f>ROUNDDOWN(O12*实测普通道具+M22-2900,0)</f>
        <v>52041</v>
      </c>
      <c r="P22" s="102"/>
    </row>
    <row r="23" spans="2:16" ht="16.2" thickBot="1">
      <c r="B23" s="104" t="str">
        <f>高级兑换道具</f>
        <v>梦幻冰淇淋</v>
      </c>
      <c r="C23" s="5">
        <f>C12*实测高级道具+C14*随机箱高级道具</f>
        <v>0</v>
      </c>
      <c r="D23" s="15"/>
      <c r="E23" s="122">
        <f>E12*实测高级道具+E14*随机箱高级道具+C23</f>
        <v>43.011363636363633</v>
      </c>
      <c r="F23" s="123"/>
      <c r="G23" s="122">
        <f>G12*实测高级道具+G14*随机箱高级道具+E23</f>
        <v>86.022727272727266</v>
      </c>
      <c r="H23" s="123"/>
      <c r="I23" s="122">
        <f>I12*实测高级道具+I14*随机箱高级道具+G23</f>
        <v>129.03409090909091</v>
      </c>
      <c r="J23" s="123"/>
      <c r="K23" s="122">
        <f>K12*实测高级道具+K14*随机箱高级道具+I23</f>
        <v>172.04545454545453</v>
      </c>
      <c r="L23" s="123"/>
      <c r="M23" s="122">
        <f>M12*实测高级道具+M14*随机箱高级道具+K23</f>
        <v>215.05681818181816</v>
      </c>
      <c r="N23" s="123"/>
      <c r="O23" s="122">
        <f>ROUNDDOWN(O12*实测高级道具+O14*随机箱高级道具+M23+O16,0)</f>
        <v>1519</v>
      </c>
      <c r="P23" s="15"/>
    </row>
    <row r="24" spans="2:16" ht="16.2" thickTop="1">
      <c r="B24" s="177" t="s">
        <v>115</v>
      </c>
      <c r="C24" s="30">
        <v>0</v>
      </c>
      <c r="D24" s="31">
        <v>0</v>
      </c>
      <c r="E24" s="30">
        <v>0</v>
      </c>
      <c r="F24" s="31">
        <v>0</v>
      </c>
      <c r="G24" s="30">
        <v>0</v>
      </c>
      <c r="H24" s="31">
        <v>0</v>
      </c>
      <c r="I24" s="30">
        <v>0</v>
      </c>
      <c r="J24" s="31">
        <v>0</v>
      </c>
      <c r="K24" s="30">
        <v>0</v>
      </c>
      <c r="L24" s="31">
        <v>0</v>
      </c>
      <c r="M24" s="30">
        <v>0</v>
      </c>
      <c r="N24" s="31">
        <v>0</v>
      </c>
      <c r="O24" s="30">
        <v>0</v>
      </c>
      <c r="P24" s="31">
        <v>0</v>
      </c>
    </row>
    <row r="25" spans="2:16">
      <c r="B25" s="166"/>
      <c r="C25" s="110">
        <v>0</v>
      </c>
      <c r="D25" s="36">
        <v>0</v>
      </c>
      <c r="E25" s="110">
        <v>0</v>
      </c>
      <c r="F25" s="36">
        <v>0</v>
      </c>
      <c r="G25" s="110">
        <v>0</v>
      </c>
      <c r="H25" s="36">
        <v>0</v>
      </c>
      <c r="I25" s="110">
        <v>0</v>
      </c>
      <c r="J25" s="36">
        <v>0</v>
      </c>
      <c r="K25" s="110">
        <v>0</v>
      </c>
      <c r="L25" s="36">
        <v>0</v>
      </c>
      <c r="M25" s="110">
        <v>0</v>
      </c>
      <c r="N25" s="36">
        <v>0</v>
      </c>
      <c r="O25" s="110">
        <v>0</v>
      </c>
      <c r="P25" s="36">
        <v>0</v>
      </c>
    </row>
    <row r="26" spans="2:16" ht="16.2" thickBot="1">
      <c r="B26" s="166"/>
      <c r="C26" s="111"/>
      <c r="D26" s="112"/>
      <c r="E26" s="111"/>
      <c r="F26" s="112"/>
      <c r="G26" s="111"/>
      <c r="H26" s="112"/>
      <c r="I26" s="111"/>
      <c r="J26" s="112"/>
      <c r="K26" s="111"/>
      <c r="L26" s="112"/>
      <c r="M26" s="111"/>
      <c r="N26" s="112"/>
      <c r="O26" s="111"/>
      <c r="P26" s="112"/>
    </row>
    <row r="27" spans="2:16" ht="16.2" thickTop="1">
      <c r="B27" s="166" t="s">
        <v>116</v>
      </c>
      <c r="C27" s="30">
        <f>IFERROR(LOOKUP(C24,价格6:价格648,翡翠100:翡翠10000),0)</f>
        <v>0</v>
      </c>
      <c r="D27" s="31">
        <f>IFERROR(LOOKUP(D24,价格6:价格648,翡翠100:翡翠10000),0)</f>
        <v>0</v>
      </c>
      <c r="E27" s="30">
        <f>IFERROR(LOOKUP(E24,价格6:价格648,翡翠100:翡翠10000),0)</f>
        <v>0</v>
      </c>
      <c r="F27" s="31">
        <f>IFERROR(LOOKUP(F24,价格6:价格648,翡翠100:翡翠10000),0)</f>
        <v>0</v>
      </c>
      <c r="G27" s="30">
        <f>IFERROR(LOOKUP(G24,价格6:价格648,翡翠100:翡翠10000),0)</f>
        <v>0</v>
      </c>
      <c r="H27" s="31">
        <f>IFERROR(LOOKUP(H24,价格6:价格648,翡翠100:翡翠10000),0)</f>
        <v>0</v>
      </c>
      <c r="I27" s="30">
        <f>IFERROR(LOOKUP(I24,价格6:价格648,翡翠100:翡翠10000),0)</f>
        <v>0</v>
      </c>
      <c r="J27" s="31">
        <f>IFERROR(LOOKUP(J24,价格6:价格648,翡翠100:翡翠10000),0)</f>
        <v>0</v>
      </c>
      <c r="K27" s="30">
        <f>IFERROR(LOOKUP(K24,价格6:价格648,翡翠100:翡翠10000),0)</f>
        <v>0</v>
      </c>
      <c r="L27" s="31">
        <f>IFERROR(LOOKUP(L24,价格6:价格648,翡翠100:翡翠10000),0)</f>
        <v>0</v>
      </c>
      <c r="M27" s="30">
        <f>IFERROR(LOOKUP(M24,价格6:价格648,翡翠100:翡翠10000),0)</f>
        <v>0</v>
      </c>
      <c r="N27" s="31">
        <f>IFERROR(LOOKUP(N24,价格6:价格648,翡翠100:翡翠10000),0)</f>
        <v>0</v>
      </c>
      <c r="O27" s="30">
        <f>IFERROR(LOOKUP(O24,价格6:价格648,翡翠100:翡翠10000),0)</f>
        <v>0</v>
      </c>
      <c r="P27" s="31">
        <f>IFERROR(LOOKUP(P24,价格6:价格648,翡翠100:翡翠10000),0)</f>
        <v>0</v>
      </c>
    </row>
    <row r="28" spans="2:16">
      <c r="B28" s="166"/>
      <c r="C28" s="110">
        <f>IFERROR(LOOKUP(C25,价格6:价格648,翡翠100:翡翠10000),0)</f>
        <v>0</v>
      </c>
      <c r="D28" s="36">
        <f>IFERROR(LOOKUP(D25,价格6:价格648,翡翠100:翡翠10000),0)</f>
        <v>0</v>
      </c>
      <c r="E28" s="110">
        <f>IFERROR(LOOKUP(E25,价格6:价格648,翡翠100:翡翠10000),0)</f>
        <v>0</v>
      </c>
      <c r="F28" s="36">
        <f>IFERROR(LOOKUP(F25,价格6:价格648,翡翠100:翡翠10000),0)</f>
        <v>0</v>
      </c>
      <c r="G28" s="110">
        <f>IFERROR(LOOKUP(G25,价格6:价格648,翡翠100:翡翠10000),0)</f>
        <v>0</v>
      </c>
      <c r="H28" s="36">
        <f>IFERROR(LOOKUP(H25,价格6:价格648,翡翠100:翡翠10000),0)</f>
        <v>0</v>
      </c>
      <c r="I28" s="110">
        <f>IFERROR(LOOKUP(I25,价格6:价格648,翡翠100:翡翠10000),0)</f>
        <v>0</v>
      </c>
      <c r="J28" s="36">
        <f>IFERROR(LOOKUP(J25,价格6:价格648,翡翠100:翡翠10000),0)</f>
        <v>0</v>
      </c>
      <c r="K28" s="110">
        <f>IFERROR(LOOKUP(K25,价格6:价格648,翡翠100:翡翠10000),0)</f>
        <v>0</v>
      </c>
      <c r="L28" s="36">
        <f>IFERROR(LOOKUP(L25,价格6:价格648,翡翠100:翡翠10000),0)</f>
        <v>0</v>
      </c>
      <c r="M28" s="110">
        <f>IFERROR(LOOKUP(M25,价格6:价格648,翡翠100:翡翠10000),0)</f>
        <v>0</v>
      </c>
      <c r="N28" s="36">
        <f>IFERROR(LOOKUP(N25,价格6:价格648,翡翠100:翡翠10000),0)</f>
        <v>0</v>
      </c>
      <c r="O28" s="110">
        <f>IFERROR(LOOKUP(O25,价格6:价格648,翡翠100:翡翠10000),0)</f>
        <v>0</v>
      </c>
      <c r="P28" s="36">
        <v>0</v>
      </c>
    </row>
    <row r="29" spans="2:16" ht="16.2" thickBot="1">
      <c r="B29" s="167"/>
      <c r="C29" s="111"/>
      <c r="D29" s="112"/>
      <c r="E29" s="111"/>
      <c r="F29" s="112"/>
      <c r="G29" s="111"/>
      <c r="H29" s="112"/>
      <c r="I29" s="111"/>
      <c r="J29" s="112"/>
      <c r="K29" s="111"/>
      <c r="L29" s="112"/>
      <c r="M29" s="111"/>
      <c r="N29" s="112"/>
      <c r="O29" s="111"/>
      <c r="P29" s="112"/>
    </row>
    <row r="30" spans="2:16" ht="24.6" customHeight="1" thickTop="1">
      <c r="B30" s="166" t="s">
        <v>89</v>
      </c>
      <c r="C30" s="168" t="str">
        <f>SUM(C6,E6,G6,I6,K6,M6,O6)*钻石购买 &amp;"钻石"</f>
        <v>105000钻石</v>
      </c>
      <c r="D30" s="169"/>
      <c r="E30" s="169"/>
      <c r="F30" s="169"/>
      <c r="G30" s="169"/>
      <c r="H30" s="169"/>
      <c r="I30" s="170" t="str">
        <f>SUM(C24:P26) &amp;"元"</f>
        <v>0元</v>
      </c>
      <c r="J30" s="170"/>
      <c r="K30" s="170"/>
      <c r="L30" s="170"/>
      <c r="M30" s="171" t="str">
        <f>SUM(C27:P29) &amp; "翡翠"</f>
        <v>0翡翠</v>
      </c>
      <c r="N30" s="171"/>
      <c r="O30" s="171"/>
      <c r="P30" s="172"/>
    </row>
    <row r="31" spans="2:16" ht="22.8" thickBot="1">
      <c r="B31" s="167"/>
      <c r="C31" s="178" t="str">
        <f>"最终收益："&amp;ROUNDDOWN(O23,0)&amp;B23&amp;"+"&amp;ROUNDDOWN(O22,0)&amp;B22</f>
        <v>最终收益：1519梦幻冰淇淋+52041香草冰淇淋</v>
      </c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80"/>
    </row>
    <row r="32" spans="2:16" ht="16.2" thickTop="1"/>
    <row r="36" spans="2:19" ht="38.4" customHeight="1"/>
    <row r="37" spans="2:19" ht="17.7" customHeight="1">
      <c r="B37" s="37"/>
      <c r="C37" s="37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2:19" ht="17.7" customHeight="1">
      <c r="B38" s="37"/>
      <c r="C38" s="6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2:19" ht="17.7" customHeight="1">
      <c r="B39" s="37"/>
      <c r="C39" s="92"/>
      <c r="D39" s="93"/>
      <c r="E39" s="93"/>
      <c r="F39" s="93"/>
      <c r="G39" s="93"/>
      <c r="H39" s="93"/>
      <c r="I39" s="93"/>
      <c r="J39" s="93"/>
      <c r="K39" s="12"/>
      <c r="L39" s="12"/>
      <c r="M39" s="12"/>
      <c r="N39" s="12"/>
      <c r="O39" s="12"/>
      <c r="P39" s="12"/>
    </row>
    <row r="40" spans="2:19" ht="17.7" customHeight="1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2:19">
      <c r="F41" s="176"/>
      <c r="G41" s="176"/>
      <c r="H41" s="176"/>
      <c r="I41" s="176"/>
      <c r="K41" s="160"/>
      <c r="L41" s="160"/>
      <c r="M41" s="160"/>
      <c r="N41" s="160"/>
      <c r="P41" s="160"/>
      <c r="Q41" s="160"/>
      <c r="R41" s="160"/>
      <c r="S41" s="160"/>
    </row>
    <row r="42" spans="2:19">
      <c r="K42" s="6"/>
      <c r="L42" s="6"/>
      <c r="M42" s="6"/>
      <c r="N42" s="6"/>
      <c r="P42" s="6"/>
      <c r="R42" s="6"/>
      <c r="S42" s="6"/>
    </row>
    <row r="43" spans="2:19">
      <c r="K43" s="6"/>
      <c r="L43" s="6"/>
      <c r="M43" s="6"/>
      <c r="N43" s="6"/>
      <c r="P43" s="6"/>
      <c r="R43" s="6"/>
      <c r="S43" s="6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35"/>
      <c r="R45" s="35"/>
      <c r="S45" s="6"/>
    </row>
    <row r="46" spans="2:19">
      <c r="G46" s="38"/>
      <c r="H46" s="38"/>
      <c r="I46" s="38"/>
      <c r="K46" s="6"/>
      <c r="M46" s="6"/>
      <c r="N46" s="6"/>
      <c r="O46" s="6"/>
      <c r="P46" s="6"/>
    </row>
    <row r="47" spans="2:19">
      <c r="F47" s="6"/>
      <c r="G47" s="6"/>
      <c r="H47" s="6"/>
      <c r="K47" s="6"/>
      <c r="M47" s="6"/>
      <c r="N47" s="6"/>
      <c r="O47" s="6"/>
      <c r="P47" s="6"/>
    </row>
    <row r="48" spans="2:19">
      <c r="B48" s="175"/>
      <c r="C48" s="175"/>
      <c r="D48" s="175"/>
      <c r="K48" s="160"/>
      <c r="L48" s="160"/>
      <c r="M48" s="160"/>
      <c r="N48" s="160"/>
    </row>
    <row r="49" spans="2:16">
      <c r="K49" s="6"/>
      <c r="M49" s="6"/>
      <c r="N49" s="6"/>
      <c r="P49" s="35"/>
    </row>
    <row r="50" spans="2:16">
      <c r="K50" s="6"/>
      <c r="M50" s="6"/>
      <c r="N50" s="6"/>
      <c r="P50" s="35"/>
    </row>
    <row r="51" spans="2:16">
      <c r="K51" s="6"/>
      <c r="M51" s="6"/>
      <c r="N51" s="6"/>
      <c r="P51" s="35"/>
    </row>
    <row r="52" spans="2:16">
      <c r="B52" s="175"/>
      <c r="C52" s="175"/>
      <c r="D52" s="175"/>
      <c r="K52" s="6"/>
      <c r="M52" s="6"/>
      <c r="N52" s="6"/>
      <c r="P52" s="35"/>
    </row>
    <row r="53" spans="2:16">
      <c r="K53" s="6"/>
      <c r="M53" s="6"/>
      <c r="N53" s="6"/>
      <c r="P53" s="35"/>
    </row>
    <row r="54" spans="2:16">
      <c r="K54" s="6"/>
      <c r="M54" s="6"/>
      <c r="N54" s="6"/>
      <c r="P54" s="35"/>
    </row>
    <row r="55" spans="2:16">
      <c r="K55" s="6"/>
      <c r="M55" s="6"/>
      <c r="N55" s="6"/>
      <c r="P55" s="35"/>
    </row>
    <row r="56" spans="2:16">
      <c r="K56" s="6"/>
      <c r="M56" s="6"/>
      <c r="N56" s="6"/>
      <c r="P56" s="35"/>
    </row>
    <row r="57" spans="2:16">
      <c r="P57" s="35"/>
    </row>
    <row r="58" spans="2:16">
      <c r="P58" s="35"/>
    </row>
    <row r="59" spans="2:16">
      <c r="P59" s="35"/>
    </row>
    <row r="60" spans="2:16">
      <c r="P60" s="35"/>
    </row>
    <row r="61" spans="2:16">
      <c r="P61" s="35"/>
    </row>
    <row r="62" spans="2:16">
      <c r="P62" s="35"/>
    </row>
    <row r="63" spans="2:16">
      <c r="P63" s="35"/>
    </row>
    <row r="64" spans="2:16">
      <c r="P64" s="35"/>
    </row>
    <row r="65" spans="16:16">
      <c r="P65" s="35"/>
    </row>
    <row r="66" spans="16:16">
      <c r="P66" s="35"/>
    </row>
    <row r="67" spans="16:16">
      <c r="P67" s="35"/>
    </row>
    <row r="68" spans="16:16">
      <c r="P68" s="35"/>
    </row>
    <row r="69" spans="16:16">
      <c r="P69" s="35"/>
    </row>
    <row r="70" spans="16:16">
      <c r="P70" s="35"/>
    </row>
    <row r="71" spans="16:16">
      <c r="P71" s="35"/>
    </row>
    <row r="72" spans="16:16">
      <c r="P72" s="35"/>
    </row>
  </sheetData>
  <mergeCells count="20">
    <mergeCell ref="P41:S41"/>
    <mergeCell ref="K41:N41"/>
    <mergeCell ref="F41:I41"/>
    <mergeCell ref="K48:N48"/>
    <mergeCell ref="B30:B31"/>
    <mergeCell ref="C31:P31"/>
    <mergeCell ref="B48:D48"/>
    <mergeCell ref="B52:D52"/>
    <mergeCell ref="C2:D2"/>
    <mergeCell ref="E2:F2"/>
    <mergeCell ref="G2:H2"/>
    <mergeCell ref="B24:B26"/>
    <mergeCell ref="B27:B29"/>
    <mergeCell ref="C30:H30"/>
    <mergeCell ref="I30:L30"/>
    <mergeCell ref="M30:P30"/>
    <mergeCell ref="O2:P2"/>
    <mergeCell ref="I2:J2"/>
    <mergeCell ref="K2:L2"/>
    <mergeCell ref="M2:N2"/>
  </mergeCells>
  <phoneticPr fontId="24" type="noConversion"/>
  <conditionalFormatting sqref="B6:P6 D9 F9 H9 J9 L9 N9 P9">
    <cfRule type="cellIs" dxfId="16" priority="2" operator="greaterThan">
      <formula>0</formula>
    </cfRule>
  </conditionalFormatting>
  <conditionalFormatting sqref="B10:P11">
    <cfRule type="cellIs" dxfId="15" priority="1" operator="greaterThan">
      <formula>0</formula>
    </cfRule>
  </conditionalFormatting>
  <conditionalFormatting sqref="C12:P12">
    <cfRule type="cellIs" dxfId="14" priority="7" operator="greaterThan">
      <formula>0</formula>
    </cfRule>
  </conditionalFormatting>
  <conditionalFormatting sqref="C14:P14">
    <cfRule type="cellIs" dxfId="13" priority="4" operator="greaterThan">
      <formula>0</formula>
    </cfRule>
  </conditionalFormatting>
  <conditionalFormatting sqref="C16:P16">
    <cfRule type="cellIs" dxfId="12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workbookViewId="0">
      <selection activeCell="B8" sqref="B8:I9"/>
    </sheetView>
  </sheetViews>
  <sheetFormatPr defaultRowHeight="15.6"/>
  <cols>
    <col min="1" max="1" width="4.44140625" style="62" customWidth="1"/>
    <col min="2" max="2" width="8.88671875" style="62" customWidth="1"/>
    <col min="3" max="3" width="53.109375" style="62" customWidth="1"/>
    <col min="4" max="4" width="9.109375" style="62" bestFit="1" customWidth="1"/>
    <col min="5" max="7" width="11.109375" style="62" bestFit="1" customWidth="1"/>
    <col min="8" max="9" width="15.77734375" style="62" customWidth="1"/>
    <col min="10" max="16384" width="8.88671875" style="62"/>
  </cols>
  <sheetData>
    <row r="1" spans="2:21" ht="16.2" thickBot="1"/>
    <row r="2" spans="2:21" ht="24" customHeight="1" thickTop="1" thickBot="1">
      <c r="B2" s="136" t="s">
        <v>82</v>
      </c>
      <c r="C2" s="137"/>
      <c r="D2" s="137"/>
      <c r="E2" s="137"/>
      <c r="F2" s="137"/>
      <c r="G2" s="137"/>
      <c r="H2" s="137"/>
      <c r="I2" s="138"/>
      <c r="K2" s="95"/>
      <c r="L2" s="95"/>
      <c r="M2" s="95"/>
      <c r="N2" s="95"/>
      <c r="O2" s="95"/>
      <c r="P2" s="95"/>
      <c r="Q2" s="95"/>
      <c r="R2" s="95"/>
    </row>
    <row r="3" spans="2:21" ht="16.8" customHeight="1" thickTop="1" thickBot="1">
      <c r="B3" s="79"/>
      <c r="C3" s="80"/>
      <c r="D3" s="80"/>
      <c r="E3" s="80"/>
      <c r="F3" s="80"/>
      <c r="G3" s="80"/>
      <c r="H3" s="80"/>
      <c r="I3" s="81"/>
      <c r="K3" s="95"/>
      <c r="L3" s="95"/>
      <c r="M3" s="95"/>
      <c r="N3" s="95"/>
      <c r="O3" s="95"/>
      <c r="P3" s="95"/>
      <c r="Q3" s="95"/>
      <c r="R3" s="95"/>
    </row>
    <row r="4" spans="2:21" ht="17.55" customHeight="1" thickTop="1">
      <c r="B4" s="141" t="s">
        <v>81</v>
      </c>
      <c r="C4" s="142"/>
      <c r="D4" s="141" t="str">
        <f>"期望"&amp;普通兑换道具</f>
        <v>期望香草冰淇淋</v>
      </c>
      <c r="E4" s="145"/>
      <c r="F4" s="142"/>
      <c r="G4" s="145" t="str">
        <f>"期望"&amp;高级兑换道具</f>
        <v>期望梦幻冰淇淋</v>
      </c>
      <c r="H4" s="145"/>
      <c r="I4" s="142"/>
      <c r="K4" s="95"/>
      <c r="L4" s="95"/>
      <c r="M4" s="95"/>
      <c r="N4" s="95"/>
      <c r="O4" s="95"/>
      <c r="P4" s="95"/>
      <c r="Q4" s="95"/>
      <c r="R4" s="95"/>
    </row>
    <row r="5" spans="2:21" ht="17.55" customHeight="1">
      <c r="B5" s="143"/>
      <c r="C5" s="144"/>
      <c r="D5" s="143"/>
      <c r="E5" s="146"/>
      <c r="F5" s="144"/>
      <c r="G5" s="146"/>
      <c r="H5" s="146"/>
      <c r="I5" s="144"/>
      <c r="K5" s="95"/>
      <c r="L5" s="95"/>
      <c r="M5" s="95"/>
      <c r="N5" s="95"/>
      <c r="O5" s="95"/>
      <c r="P5" s="95"/>
      <c r="Q5" s="95"/>
      <c r="R5" s="95"/>
      <c r="T5" s="96"/>
      <c r="U5" s="96"/>
    </row>
    <row r="6" spans="2:21" ht="20.85" customHeight="1" thickBot="1">
      <c r="B6" s="139" t="str">
        <f>夏日派对10.5w!C30&amp;"+"&amp;夏日派对10.5w!M30</f>
        <v>105000钻石+0翡翠</v>
      </c>
      <c r="C6" s="140"/>
      <c r="D6" s="149">
        <f>夏日派对10.5w!O22</f>
        <v>52041</v>
      </c>
      <c r="E6" s="150"/>
      <c r="F6" s="151"/>
      <c r="G6" s="147">
        <f>夏日派对10.5w!O23</f>
        <v>1519</v>
      </c>
      <c r="H6" s="147"/>
      <c r="I6" s="148"/>
      <c r="K6" s="95"/>
      <c r="L6" s="95"/>
      <c r="M6" s="95"/>
      <c r="N6" s="95"/>
      <c r="O6" s="95"/>
      <c r="P6" s="95"/>
      <c r="Q6" s="95"/>
      <c r="R6" s="95"/>
      <c r="T6" s="96"/>
      <c r="U6" s="96"/>
    </row>
    <row r="7" spans="2:21" ht="13.35" customHeight="1" thickTop="1" thickBot="1">
      <c r="B7" s="82"/>
      <c r="C7" s="83"/>
      <c r="D7" s="84"/>
      <c r="E7" s="84"/>
      <c r="F7" s="85"/>
      <c r="G7" s="85"/>
      <c r="H7" s="86"/>
      <c r="I7" s="87"/>
      <c r="K7" s="95"/>
      <c r="L7" s="95"/>
      <c r="M7" s="95"/>
      <c r="N7" s="95"/>
      <c r="O7" s="95"/>
      <c r="P7" s="95"/>
      <c r="Q7" s="95"/>
      <c r="R7" s="95"/>
      <c r="T7" s="97"/>
      <c r="U7" s="97"/>
    </row>
    <row r="8" spans="2:21" ht="17.55" customHeight="1" thickTop="1">
      <c r="B8" s="130" t="s">
        <v>132</v>
      </c>
      <c r="C8" s="131"/>
      <c r="D8" s="131"/>
      <c r="E8" s="131"/>
      <c r="F8" s="131"/>
      <c r="G8" s="131"/>
      <c r="H8" s="131"/>
      <c r="I8" s="132"/>
      <c r="K8" s="95"/>
      <c r="L8" s="95"/>
      <c r="M8" s="95"/>
      <c r="N8" s="95"/>
      <c r="O8" s="95"/>
      <c r="P8" s="95"/>
      <c r="Q8" s="95"/>
      <c r="R8" s="95"/>
    </row>
    <row r="9" spans="2:21" ht="17.55" customHeight="1" thickBot="1">
      <c r="B9" s="133"/>
      <c r="C9" s="134"/>
      <c r="D9" s="134"/>
      <c r="E9" s="134"/>
      <c r="F9" s="134"/>
      <c r="G9" s="134"/>
      <c r="H9" s="134"/>
      <c r="I9" s="135"/>
      <c r="K9" s="95"/>
      <c r="L9" s="95"/>
      <c r="M9" s="95"/>
      <c r="N9" s="95"/>
      <c r="O9" s="95"/>
      <c r="P9" s="95"/>
      <c r="Q9" s="95"/>
      <c r="R9" s="95"/>
    </row>
    <row r="10" spans="2:21" ht="16.8" customHeight="1" thickTop="1" thickBot="1">
      <c r="B10" s="79"/>
      <c r="C10" s="80"/>
      <c r="D10" s="80"/>
      <c r="E10" s="80"/>
      <c r="F10" s="80"/>
      <c r="G10" s="80"/>
      <c r="H10" s="80"/>
      <c r="I10" s="81"/>
      <c r="K10" s="95"/>
      <c r="L10" s="95"/>
      <c r="M10" s="95"/>
      <c r="N10" s="95"/>
      <c r="O10" s="95"/>
      <c r="P10" s="95"/>
      <c r="Q10" s="95"/>
      <c r="R10" s="95"/>
    </row>
    <row r="11" spans="2:21" ht="19.2" customHeight="1" thickTop="1">
      <c r="B11" s="73" t="s">
        <v>68</v>
      </c>
      <c r="C11" s="74" t="s">
        <v>78</v>
      </c>
      <c r="D11" s="74" t="str">
        <f>夏日派对10.5w!B19</f>
        <v>目标档位</v>
      </c>
      <c r="E11" s="74" t="str">
        <f>夏日派对10.5w!B12</f>
        <v>使用刮刮券</v>
      </c>
      <c r="F11" s="74" t="str">
        <f>夏日派对10.5w!B13</f>
        <v>剩余刮刮券</v>
      </c>
      <c r="G11" s="74" t="str">
        <f>夏日派对10.5w!B15</f>
        <v>剩余随机箱</v>
      </c>
      <c r="H11" s="74" t="str">
        <f>"期望"&amp;普通兑换道具</f>
        <v>期望香草冰淇淋</v>
      </c>
      <c r="I11" s="75" t="str">
        <f>"期望"&amp;高级兑换道具</f>
        <v>期望梦幻冰淇淋</v>
      </c>
      <c r="K11" s="95"/>
      <c r="L11" s="95"/>
      <c r="M11" s="95"/>
      <c r="N11" s="95"/>
      <c r="O11" s="95"/>
      <c r="P11" s="95"/>
      <c r="Q11" s="95"/>
      <c r="R11" s="95"/>
    </row>
    <row r="12" spans="2:21" ht="24" customHeight="1">
      <c r="B12" s="71" t="s">
        <v>69</v>
      </c>
      <c r="C12" s="67" t="s">
        <v>113</v>
      </c>
      <c r="D12" s="67" t="str">
        <f>夏日派对10.5w!C19</f>
        <v>第2档</v>
      </c>
      <c r="E12" s="67">
        <f>夏日派对10.5w!C12</f>
        <v>0</v>
      </c>
      <c r="F12" s="67">
        <f>夏日派对10.5w!C13</f>
        <v>148</v>
      </c>
      <c r="G12" s="67">
        <f>夏日派对10.5w!C15</f>
        <v>6</v>
      </c>
      <c r="H12" s="68">
        <f>夏日派对10.5w!C22</f>
        <v>0</v>
      </c>
      <c r="I12" s="72">
        <f>夏日派对10.5w!C23</f>
        <v>0</v>
      </c>
      <c r="K12" s="95"/>
      <c r="L12" s="95"/>
      <c r="M12" s="95"/>
      <c r="N12" s="95"/>
      <c r="O12" s="95"/>
      <c r="P12" s="95"/>
      <c r="Q12" s="95"/>
      <c r="R12" s="95"/>
    </row>
    <row r="13" spans="2:21" ht="24" customHeight="1">
      <c r="B13" s="69" t="s">
        <v>70</v>
      </c>
      <c r="C13" s="65" t="s">
        <v>114</v>
      </c>
      <c r="D13" s="65" t="str">
        <f>夏日派对10.5w!E19</f>
        <v>第2档</v>
      </c>
      <c r="E13" s="65">
        <f>夏日派对10.5w!E12</f>
        <v>50</v>
      </c>
      <c r="F13" s="65">
        <f>夏日派对10.5w!E13</f>
        <v>241</v>
      </c>
      <c r="G13" s="65">
        <f>夏日派对10.5w!E15</f>
        <v>12</v>
      </c>
      <c r="H13" s="66">
        <f>夏日派对10.5w!E22</f>
        <v>2730.6818181818185</v>
      </c>
      <c r="I13" s="70">
        <f>夏日派对10.5w!E23</f>
        <v>43.011363636363633</v>
      </c>
      <c r="K13" s="95"/>
      <c r="L13" s="95"/>
      <c r="M13" s="95"/>
      <c r="N13" s="95"/>
      <c r="O13" s="95"/>
      <c r="P13" s="95"/>
      <c r="Q13" s="95"/>
      <c r="R13" s="95"/>
    </row>
    <row r="14" spans="2:21" ht="24" customHeight="1">
      <c r="B14" s="69" t="s">
        <v>71</v>
      </c>
      <c r="C14" s="65" t="s">
        <v>114</v>
      </c>
      <c r="D14" s="65" t="str">
        <f>夏日派对10.5w!G19</f>
        <v>第2档</v>
      </c>
      <c r="E14" s="66">
        <f>夏日派对10.5w!G12</f>
        <v>50</v>
      </c>
      <c r="F14" s="66">
        <f>夏日派对10.5w!G13</f>
        <v>334</v>
      </c>
      <c r="G14" s="66">
        <f>夏日派对10.5w!G15</f>
        <v>18</v>
      </c>
      <c r="H14" s="66">
        <f>夏日派对10.5w!G22</f>
        <v>5461.3636363636369</v>
      </c>
      <c r="I14" s="70">
        <f>夏日派对10.5w!G23</f>
        <v>86.022727272727266</v>
      </c>
      <c r="K14" s="95"/>
      <c r="L14" s="95"/>
      <c r="M14" s="95"/>
      <c r="N14" s="95"/>
      <c r="O14" s="95"/>
      <c r="P14" s="95"/>
      <c r="Q14" s="95"/>
      <c r="R14" s="95"/>
    </row>
    <row r="15" spans="2:21" ht="24" customHeight="1">
      <c r="B15" s="69" t="s">
        <v>72</v>
      </c>
      <c r="C15" s="65" t="s">
        <v>114</v>
      </c>
      <c r="D15" s="65" t="str">
        <f>夏日派对10.5w!I19</f>
        <v>第2档</v>
      </c>
      <c r="E15" s="66">
        <f>夏日派对10.5w!I12</f>
        <v>50</v>
      </c>
      <c r="F15" s="66">
        <f>夏日派对10.5w!I13</f>
        <v>427</v>
      </c>
      <c r="G15" s="66">
        <f>夏日派对10.5w!I15</f>
        <v>24</v>
      </c>
      <c r="H15" s="66">
        <f>夏日派对10.5w!I22</f>
        <v>8192.0454545454559</v>
      </c>
      <c r="I15" s="70">
        <f>夏日派对10.5w!I23</f>
        <v>129.03409090909091</v>
      </c>
      <c r="K15" s="95"/>
      <c r="L15" s="95"/>
      <c r="M15" s="95"/>
      <c r="N15" s="95"/>
      <c r="O15" s="95"/>
      <c r="P15" s="95"/>
      <c r="Q15" s="95"/>
      <c r="R15" s="95"/>
    </row>
    <row r="16" spans="2:21" ht="24" customHeight="1">
      <c r="B16" s="69" t="s">
        <v>73</v>
      </c>
      <c r="C16" s="65" t="s">
        <v>114</v>
      </c>
      <c r="D16" s="65" t="str">
        <f>夏日派对10.5w!K19</f>
        <v>第2档</v>
      </c>
      <c r="E16" s="65">
        <f>夏日派对10.5w!K12</f>
        <v>50</v>
      </c>
      <c r="F16" s="65">
        <f>夏日派对10.5w!K13</f>
        <v>520</v>
      </c>
      <c r="G16" s="65">
        <f>夏日派对10.5w!K15</f>
        <v>30</v>
      </c>
      <c r="H16" s="66">
        <f>夏日派对10.5w!K22</f>
        <v>10922.727272727274</v>
      </c>
      <c r="I16" s="70">
        <f>夏日派对10.5w!K23</f>
        <v>172.04545454545453</v>
      </c>
      <c r="K16" s="95"/>
      <c r="L16" s="95"/>
      <c r="M16" s="95"/>
      <c r="N16" s="95"/>
      <c r="O16" s="95"/>
      <c r="P16" s="95"/>
      <c r="Q16" s="95"/>
      <c r="R16" s="95"/>
    </row>
    <row r="17" spans="1:18" ht="24" customHeight="1">
      <c r="B17" s="69" t="s">
        <v>74</v>
      </c>
      <c r="C17" s="65" t="s">
        <v>114</v>
      </c>
      <c r="D17" s="65" t="str">
        <f>夏日派对10.5w!M19</f>
        <v>第2档</v>
      </c>
      <c r="E17" s="65">
        <f>夏日派对10.5w!M12</f>
        <v>50</v>
      </c>
      <c r="F17" s="65">
        <f>夏日派对10.5w!M13</f>
        <v>613</v>
      </c>
      <c r="G17" s="65">
        <f>夏日派对10.5w!M15</f>
        <v>36</v>
      </c>
      <c r="H17" s="66">
        <f>夏日派对10.5w!M22</f>
        <v>13653.409090909092</v>
      </c>
      <c r="I17" s="70">
        <f>夏日派对10.5w!M23</f>
        <v>215.05681818181816</v>
      </c>
      <c r="K17" s="95"/>
      <c r="L17" s="95"/>
      <c r="M17" s="95"/>
      <c r="N17" s="95"/>
      <c r="O17" s="95"/>
      <c r="P17" s="95"/>
      <c r="Q17" s="95"/>
      <c r="R17" s="95"/>
    </row>
    <row r="18" spans="1:18" ht="38.4" customHeight="1" thickBot="1">
      <c r="A18" s="62" t="s">
        <v>102</v>
      </c>
      <c r="B18" s="76" t="s">
        <v>75</v>
      </c>
      <c r="C18" s="78" t="s">
        <v>130</v>
      </c>
      <c r="D18" s="78" t="str">
        <f>夏日派对10.5w!O19</f>
        <v>第3档</v>
      </c>
      <c r="E18" s="77">
        <f>夏日派对10.5w!O12</f>
        <v>756</v>
      </c>
      <c r="F18" s="77">
        <f>夏日派对10.5w!O13</f>
        <v>0</v>
      </c>
      <c r="G18" s="77">
        <f>夏日派对10.5w!O15</f>
        <v>0</v>
      </c>
      <c r="H18" s="78">
        <f>夏日派对10.5w!O22</f>
        <v>52041</v>
      </c>
      <c r="I18" s="88">
        <f>夏日派对10.5w!O23</f>
        <v>1519</v>
      </c>
      <c r="K18" s="95"/>
      <c r="L18" s="95"/>
      <c r="M18" s="95"/>
      <c r="N18" s="95"/>
      <c r="O18" s="95"/>
      <c r="P18" s="95"/>
      <c r="Q18" s="95"/>
      <c r="R18" s="95"/>
    </row>
    <row r="19" spans="1:18" ht="17.399999999999999" customHeight="1" thickTop="1" thickBot="1">
      <c r="B19" s="79"/>
      <c r="C19" s="80"/>
      <c r="D19" s="80"/>
      <c r="E19" s="80"/>
      <c r="F19" s="80"/>
      <c r="G19" s="80"/>
      <c r="H19" s="80"/>
      <c r="I19" s="81"/>
      <c r="K19" s="95"/>
      <c r="L19" s="95"/>
      <c r="M19" s="95"/>
      <c r="N19" s="95"/>
      <c r="O19" s="95"/>
      <c r="P19" s="95"/>
      <c r="Q19" s="95"/>
      <c r="R19" s="95"/>
    </row>
    <row r="20" spans="1:18" ht="18.45" customHeight="1" thickTop="1">
      <c r="B20" s="124" t="s">
        <v>76</v>
      </c>
      <c r="C20" s="125"/>
      <c r="D20" s="125"/>
      <c r="E20" s="125"/>
      <c r="F20" s="125"/>
      <c r="G20" s="125"/>
      <c r="H20" s="125"/>
      <c r="I20" s="126"/>
      <c r="K20" s="95"/>
      <c r="L20" s="95"/>
      <c r="M20" s="95"/>
      <c r="N20" s="95"/>
      <c r="O20" s="95"/>
      <c r="P20" s="95"/>
      <c r="Q20" s="95"/>
      <c r="R20" s="95"/>
    </row>
    <row r="21" spans="1:18" ht="66" customHeight="1" thickBot="1">
      <c r="B21" s="127" t="s">
        <v>131</v>
      </c>
      <c r="C21" s="128"/>
      <c r="D21" s="128"/>
      <c r="E21" s="128"/>
      <c r="F21" s="128"/>
      <c r="G21" s="128"/>
      <c r="H21" s="128"/>
      <c r="I21" s="129"/>
      <c r="K21" s="95"/>
      <c r="L21" s="95"/>
      <c r="M21" s="95"/>
      <c r="N21" s="95"/>
      <c r="O21" s="95"/>
      <c r="P21" s="95"/>
      <c r="Q21" s="95"/>
      <c r="R21" s="95"/>
    </row>
    <row r="22" spans="1:18" ht="34.5" customHeight="1" thickTop="1">
      <c r="B22" s="98"/>
      <c r="C22" s="98"/>
      <c r="D22" s="98"/>
      <c r="E22" s="98"/>
      <c r="F22" s="98"/>
      <c r="G22" s="98"/>
      <c r="H22" s="98"/>
      <c r="I22" s="98"/>
      <c r="K22" s="95"/>
      <c r="L22" s="95"/>
      <c r="M22" s="95"/>
      <c r="N22" s="95"/>
      <c r="O22" s="95"/>
      <c r="P22" s="95"/>
      <c r="Q22" s="95"/>
      <c r="R22" s="95"/>
    </row>
    <row r="23" spans="1:18" ht="12.9" customHeight="1">
      <c r="B23" s="98"/>
      <c r="C23" s="98"/>
      <c r="D23" s="98"/>
      <c r="E23" s="98"/>
      <c r="F23" s="98"/>
      <c r="G23" s="98"/>
      <c r="H23" s="98"/>
      <c r="I23" s="98"/>
      <c r="K23" s="95"/>
      <c r="L23" s="95"/>
      <c r="M23" s="95"/>
      <c r="N23" s="95"/>
      <c r="O23" s="95"/>
      <c r="P23" s="95"/>
      <c r="Q23" s="95"/>
      <c r="R23" s="95"/>
    </row>
    <row r="24" spans="1:18" ht="15.6" customHeight="1">
      <c r="K24" s="95"/>
      <c r="L24" s="95"/>
      <c r="M24" s="95"/>
      <c r="N24" s="95"/>
      <c r="O24" s="95"/>
      <c r="P24" s="95"/>
      <c r="Q24" s="95"/>
      <c r="R24" s="95"/>
    </row>
    <row r="25" spans="1:18" ht="16.2" customHeight="1">
      <c r="B25" s="99"/>
      <c r="C25" s="99"/>
      <c r="D25" s="99"/>
      <c r="E25" s="99"/>
      <c r="F25" s="99"/>
      <c r="G25" s="99"/>
      <c r="H25" s="99"/>
      <c r="I25" s="99"/>
      <c r="K25" s="95"/>
      <c r="L25" s="95"/>
      <c r="M25" s="95"/>
      <c r="N25" s="95"/>
      <c r="O25" s="95"/>
      <c r="P25" s="95"/>
      <c r="Q25" s="95"/>
      <c r="R25" s="95"/>
    </row>
    <row r="26" spans="1:18" ht="15.3" customHeight="1">
      <c r="B26" s="99"/>
      <c r="C26" s="99"/>
      <c r="D26" s="99"/>
      <c r="E26" s="99"/>
      <c r="F26" s="99"/>
      <c r="G26" s="99"/>
      <c r="H26" s="99"/>
      <c r="I26" s="99"/>
      <c r="K26" s="95"/>
      <c r="L26" s="95"/>
      <c r="M26" s="95"/>
      <c r="N26" s="95"/>
      <c r="O26" s="95"/>
      <c r="P26" s="95"/>
      <c r="Q26" s="95"/>
      <c r="R26" s="95"/>
    </row>
    <row r="27" spans="1:18" ht="22.95" customHeight="1">
      <c r="B27" s="99"/>
      <c r="C27" s="99"/>
      <c r="D27" s="99"/>
      <c r="E27" s="99"/>
      <c r="F27" s="99"/>
      <c r="G27" s="99"/>
      <c r="H27" s="99"/>
      <c r="I27" s="99"/>
      <c r="K27" s="95"/>
      <c r="L27" s="95"/>
      <c r="M27" s="95"/>
      <c r="N27" s="95"/>
      <c r="O27" s="95"/>
      <c r="P27" s="95"/>
      <c r="Q27" s="95"/>
      <c r="R27" s="95"/>
    </row>
    <row r="28" spans="1:18" ht="22.95" customHeight="1">
      <c r="K28" s="95"/>
      <c r="L28" s="95"/>
      <c r="M28" s="95"/>
      <c r="N28" s="95"/>
      <c r="O28" s="95"/>
      <c r="P28" s="95"/>
      <c r="Q28" s="95"/>
      <c r="R28" s="95"/>
    </row>
    <row r="29" spans="1:18" ht="22.95" customHeight="1">
      <c r="K29" s="95"/>
      <c r="L29" s="95"/>
      <c r="M29" s="95"/>
      <c r="N29" s="95"/>
      <c r="O29" s="95"/>
      <c r="P29" s="95"/>
      <c r="Q29" s="95"/>
      <c r="R29" s="95"/>
    </row>
    <row r="30" spans="1:18" ht="15.6" customHeight="1">
      <c r="K30" s="95"/>
      <c r="L30" s="95"/>
      <c r="M30" s="95"/>
      <c r="N30" s="95"/>
      <c r="O30" s="95"/>
      <c r="P30" s="95"/>
      <c r="Q30" s="95"/>
      <c r="R30" s="95"/>
    </row>
    <row r="31" spans="1:18" ht="20.55" customHeight="1">
      <c r="K31" s="95"/>
      <c r="L31" s="95"/>
      <c r="M31" s="95"/>
      <c r="N31" s="95"/>
      <c r="O31" s="95"/>
      <c r="P31" s="95"/>
      <c r="Q31" s="95"/>
      <c r="R31" s="95"/>
    </row>
    <row r="32" spans="1:18" ht="15.6" customHeight="1">
      <c r="K32" s="95"/>
      <c r="L32" s="95"/>
      <c r="M32" s="95"/>
      <c r="N32" s="95"/>
      <c r="O32" s="95"/>
      <c r="P32" s="95"/>
      <c r="Q32" s="95"/>
      <c r="R32" s="95"/>
    </row>
    <row r="33" ht="17.850000000000001" customHeight="1"/>
  </sheetData>
  <mergeCells count="10">
    <mergeCell ref="B20:I20"/>
    <mergeCell ref="B21:I21"/>
    <mergeCell ref="B8:I9"/>
    <mergeCell ref="B2:I2"/>
    <mergeCell ref="B6:C6"/>
    <mergeCell ref="B4:C5"/>
    <mergeCell ref="G4:I5"/>
    <mergeCell ref="G6:I6"/>
    <mergeCell ref="D4:F5"/>
    <mergeCell ref="D6:F6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15D3-7F69-4AEB-B01D-99627CD0D927}">
  <dimension ref="A1:R54"/>
  <sheetViews>
    <sheetView workbookViewId="0">
      <selection activeCell="B21" sqref="B21:I21"/>
    </sheetView>
  </sheetViews>
  <sheetFormatPr defaultRowHeight="15.6"/>
  <cols>
    <col min="1" max="1" width="13.21875" style="1" customWidth="1"/>
    <col min="2" max="2" width="10.109375" style="1" customWidth="1"/>
    <col min="3" max="3" width="11.88671875" style="1" customWidth="1"/>
    <col min="4" max="4" width="11.44140625" style="1" customWidth="1"/>
    <col min="5" max="5" width="12.109375" style="1" customWidth="1"/>
    <col min="6" max="6" width="10.109375" style="1" customWidth="1"/>
    <col min="7" max="7" width="10.77734375" style="1" customWidth="1"/>
    <col min="8" max="8" width="10.5546875" style="1" customWidth="1"/>
    <col min="9" max="9" width="11.88671875" style="1" customWidth="1"/>
    <col min="10" max="10" width="11" style="1" customWidth="1"/>
    <col min="11" max="11" width="8.88671875" style="1"/>
    <col min="12" max="12" width="10.5546875" style="1" customWidth="1"/>
    <col min="13" max="13" width="13.77734375" style="1" customWidth="1"/>
    <col min="14" max="14" width="10.5546875" style="1" customWidth="1"/>
    <col min="15" max="15" width="17.109375" style="1" customWidth="1"/>
    <col min="16" max="16" width="7.77734375" style="1" customWidth="1"/>
    <col min="17" max="17" width="13.5546875" style="1" customWidth="1"/>
    <col min="18" max="18" width="9.88671875" style="1" customWidth="1"/>
    <col min="19" max="19" width="13.6640625" style="1" customWidth="1"/>
    <col min="20" max="20" width="14.6640625" style="1" customWidth="1"/>
    <col min="21" max="16384" width="8.88671875" style="1"/>
  </cols>
  <sheetData>
    <row r="1" spans="1:15" ht="16.2" thickTop="1">
      <c r="A1" s="16"/>
      <c r="B1" s="173" t="s">
        <v>53</v>
      </c>
      <c r="C1" s="174"/>
      <c r="D1" s="173" t="s">
        <v>54</v>
      </c>
      <c r="E1" s="174"/>
      <c r="F1" s="173" t="s">
        <v>55</v>
      </c>
      <c r="G1" s="174"/>
      <c r="H1" s="173" t="s">
        <v>56</v>
      </c>
      <c r="I1" s="174"/>
      <c r="J1" s="173" t="s">
        <v>57</v>
      </c>
      <c r="K1" s="174"/>
      <c r="L1" s="173" t="s">
        <v>58</v>
      </c>
      <c r="M1" s="174"/>
      <c r="N1" s="173" t="s">
        <v>59</v>
      </c>
      <c r="O1" s="174"/>
    </row>
    <row r="2" spans="1:15">
      <c r="A2" s="17"/>
      <c r="B2" s="3" t="str">
        <f>抽奖道具</f>
        <v>刮刮券</v>
      </c>
      <c r="C2" s="4" t="s">
        <v>26</v>
      </c>
      <c r="D2" s="3" t="str">
        <f>抽奖道具</f>
        <v>刮刮券</v>
      </c>
      <c r="E2" s="4" t="s">
        <v>26</v>
      </c>
      <c r="F2" s="3" t="str">
        <f>抽奖道具</f>
        <v>刮刮券</v>
      </c>
      <c r="G2" s="4" t="s">
        <v>26</v>
      </c>
      <c r="H2" s="3" t="str">
        <f>抽奖道具</f>
        <v>刮刮券</v>
      </c>
      <c r="I2" s="4" t="s">
        <v>26</v>
      </c>
      <c r="J2" s="3" t="str">
        <f>抽奖道具</f>
        <v>刮刮券</v>
      </c>
      <c r="K2" s="4" t="s">
        <v>26</v>
      </c>
      <c r="L2" s="3" t="str">
        <f>抽奖道具</f>
        <v>刮刮券</v>
      </c>
      <c r="M2" s="4" t="s">
        <v>26</v>
      </c>
      <c r="N2" s="3" t="str">
        <f>抽奖道具</f>
        <v>刮刮券</v>
      </c>
      <c r="O2" s="4" t="s">
        <v>26</v>
      </c>
    </row>
    <row r="3" spans="1:15">
      <c r="A3" s="17" t="s">
        <v>60</v>
      </c>
      <c r="B3" s="3">
        <v>5</v>
      </c>
      <c r="C3" s="4">
        <f>B3*积分规则1</f>
        <v>100</v>
      </c>
      <c r="D3" s="3"/>
      <c r="E3" s="4">
        <f>D3*积分规则1</f>
        <v>0</v>
      </c>
      <c r="F3" s="3"/>
      <c r="G3" s="4">
        <f>F3*积分规则1</f>
        <v>0</v>
      </c>
      <c r="H3" s="3"/>
      <c r="I3" s="4">
        <f>H3*积分规则1</f>
        <v>0</v>
      </c>
      <c r="J3" s="3"/>
      <c r="K3" s="4">
        <f>J3*积分规则1</f>
        <v>0</v>
      </c>
      <c r="L3" s="3"/>
      <c r="M3" s="4">
        <f>L3*积分规则1</f>
        <v>0</v>
      </c>
      <c r="N3" s="3"/>
      <c r="O3" s="4">
        <f>N3*积分规则1</f>
        <v>0</v>
      </c>
    </row>
    <row r="4" spans="1:15">
      <c r="A4" s="17" t="s">
        <v>61</v>
      </c>
      <c r="B4" s="3">
        <v>43</v>
      </c>
      <c r="C4" s="4">
        <f>B4*积分规则1</f>
        <v>860</v>
      </c>
      <c r="D4" s="3">
        <v>43</v>
      </c>
      <c r="E4" s="4">
        <f>D4*积分规则1</f>
        <v>860</v>
      </c>
      <c r="F4" s="3">
        <v>43</v>
      </c>
      <c r="G4" s="4">
        <f>F4*积分规则1</f>
        <v>860</v>
      </c>
      <c r="H4" s="3">
        <v>43</v>
      </c>
      <c r="I4" s="4">
        <f>H4*积分规则1</f>
        <v>860</v>
      </c>
      <c r="J4" s="3">
        <v>43</v>
      </c>
      <c r="K4" s="4">
        <f>J4*积分规则1</f>
        <v>860</v>
      </c>
      <c r="L4" s="3">
        <v>43</v>
      </c>
      <c r="M4" s="4">
        <f>L4*积分规则1</f>
        <v>860</v>
      </c>
      <c r="N4" s="3">
        <v>43</v>
      </c>
      <c r="O4" s="4">
        <f>N4*积分规则1</f>
        <v>860</v>
      </c>
    </row>
    <row r="5" spans="1:15">
      <c r="A5" s="18" t="s">
        <v>45</v>
      </c>
      <c r="B5" s="3">
        <v>100</v>
      </c>
      <c r="C5" s="4">
        <f>B5*积分规则1</f>
        <v>2000</v>
      </c>
      <c r="D5" s="3">
        <v>100</v>
      </c>
      <c r="E5" s="4">
        <f>D5*积分规则1</f>
        <v>2000</v>
      </c>
      <c r="F5" s="3">
        <v>100</v>
      </c>
      <c r="G5" s="4">
        <f>F5*积分规则1</f>
        <v>2000</v>
      </c>
      <c r="H5" s="3">
        <v>0</v>
      </c>
      <c r="I5" s="4">
        <f>H5*积分规则1</f>
        <v>0</v>
      </c>
      <c r="J5" s="3">
        <v>0</v>
      </c>
      <c r="K5" s="4">
        <f>J5*积分规则1</f>
        <v>0</v>
      </c>
      <c r="L5" s="3">
        <v>0</v>
      </c>
      <c r="M5" s="4">
        <f>L5*积分规则1</f>
        <v>0</v>
      </c>
      <c r="N5" s="3">
        <v>0</v>
      </c>
      <c r="O5" s="4">
        <f>N5*积分规则1</f>
        <v>0</v>
      </c>
    </row>
    <row r="6" spans="1:15">
      <c r="A6" s="27" t="s">
        <v>62</v>
      </c>
      <c r="B6" s="3">
        <v>0</v>
      </c>
      <c r="C6" s="4">
        <f>B6*积分规则2</f>
        <v>0</v>
      </c>
      <c r="D6" s="3">
        <v>0</v>
      </c>
      <c r="E6" s="4">
        <f>D6*积分规则2</f>
        <v>0</v>
      </c>
      <c r="F6" s="3">
        <v>0</v>
      </c>
      <c r="G6" s="4">
        <f>F6*积分规则2</f>
        <v>0</v>
      </c>
      <c r="H6" s="3">
        <v>0</v>
      </c>
      <c r="I6" s="4">
        <f>H6*积分规则2</f>
        <v>0</v>
      </c>
      <c r="J6" s="3">
        <v>0</v>
      </c>
      <c r="K6" s="4">
        <f>J6*积分规则2</f>
        <v>0</v>
      </c>
      <c r="L6" s="3">
        <v>0</v>
      </c>
      <c r="M6" s="4">
        <f>L6*积分规则2</f>
        <v>0</v>
      </c>
      <c r="N6" s="3">
        <v>100</v>
      </c>
      <c r="O6" s="4">
        <f>N6*积分规则2</f>
        <v>100</v>
      </c>
    </row>
    <row r="7" spans="1:15">
      <c r="A7" s="19" t="str">
        <f>"使用"&amp;抽奖道具</f>
        <v>使用刮刮券</v>
      </c>
      <c r="B7" s="3">
        <v>0</v>
      </c>
      <c r="C7" s="4">
        <f>B7*实测高级道具*积分规则2</f>
        <v>0</v>
      </c>
      <c r="D7" s="3">
        <v>50</v>
      </c>
      <c r="E7" s="4">
        <f>D7*实测高级道具*积分规则2</f>
        <v>43.011363636363633</v>
      </c>
      <c r="F7" s="3">
        <v>50</v>
      </c>
      <c r="G7" s="4">
        <f>F7*实测高级道具*积分规则2</f>
        <v>43.011363636363633</v>
      </c>
      <c r="H7" s="3">
        <v>0</v>
      </c>
      <c r="I7" s="4">
        <f>H7*实测高级道具*积分规则2</f>
        <v>0</v>
      </c>
      <c r="J7" s="3">
        <v>0</v>
      </c>
      <c r="K7" s="4">
        <f>J7*实测高级道具*积分规则2</f>
        <v>0</v>
      </c>
      <c r="L7" s="3">
        <v>0</v>
      </c>
      <c r="M7" s="4">
        <f>L7*实测高级道具*积分规则2</f>
        <v>0</v>
      </c>
      <c r="N7" s="3">
        <v>506</v>
      </c>
      <c r="O7" s="4">
        <f>N7*实测高级道具*积分规则2</f>
        <v>435.27499999999998</v>
      </c>
    </row>
    <row r="8" spans="1:15">
      <c r="A8" s="20" t="str">
        <f>"剩余"&amp;抽奖道具</f>
        <v>剩余刮刮券</v>
      </c>
      <c r="B8" s="3">
        <f>B12-B7</f>
        <v>148</v>
      </c>
      <c r="C8" s="4"/>
      <c r="D8" s="3">
        <f>B8+SUM(D3:D6)-D7</f>
        <v>241</v>
      </c>
      <c r="E8" s="4"/>
      <c r="F8" s="3">
        <f>D8+SUM(F3:F6)-F7</f>
        <v>334</v>
      </c>
      <c r="G8" s="4"/>
      <c r="H8" s="3">
        <f>F8+SUM(H3:H6)-H7</f>
        <v>377</v>
      </c>
      <c r="I8" s="4"/>
      <c r="J8" s="3">
        <f>H8+SUM(J3:J6)-J7</f>
        <v>420</v>
      </c>
      <c r="K8" s="4"/>
      <c r="L8" s="3">
        <f>J8+SUM(L3:L6)-L7</f>
        <v>463</v>
      </c>
      <c r="M8" s="4"/>
      <c r="N8" s="3">
        <f>L8+SUM(N3:N5)-N7</f>
        <v>0</v>
      </c>
      <c r="O8" s="4"/>
    </row>
    <row r="9" spans="1:15">
      <c r="A9" s="25" t="s">
        <v>63</v>
      </c>
      <c r="B9" s="3">
        <v>0</v>
      </c>
      <c r="C9" s="4">
        <f>B9*随机箱积分</f>
        <v>0</v>
      </c>
      <c r="D9" s="3">
        <v>0</v>
      </c>
      <c r="E9" s="4">
        <f>D9*随机箱积分</f>
        <v>0</v>
      </c>
      <c r="F9" s="3">
        <v>0</v>
      </c>
      <c r="G9" s="4">
        <f>F9*随机箱积分</f>
        <v>0</v>
      </c>
      <c r="H9" s="3">
        <v>0</v>
      </c>
      <c r="I9" s="4">
        <f>H9*随机箱积分</f>
        <v>0</v>
      </c>
      <c r="J9" s="3">
        <v>0</v>
      </c>
      <c r="K9" s="4">
        <f>J9*随机箱积分</f>
        <v>0</v>
      </c>
      <c r="L9" s="3">
        <v>0</v>
      </c>
      <c r="M9" s="4">
        <f>L9*随机箱积分</f>
        <v>0</v>
      </c>
      <c r="N9" s="3">
        <v>18</v>
      </c>
      <c r="O9" s="4">
        <f>N9*随机箱积分</f>
        <v>184.58999999999997</v>
      </c>
    </row>
    <row r="10" spans="1:15">
      <c r="A10" s="20" t="s">
        <v>64</v>
      </c>
      <c r="B10" s="3">
        <f>B13-SUM(B9)</f>
        <v>6</v>
      </c>
      <c r="C10" s="4"/>
      <c r="D10" s="3">
        <f>D13-SUM(B9,D9)</f>
        <v>12</v>
      </c>
      <c r="E10" s="4"/>
      <c r="F10" s="3">
        <f>F13-SUM(B9,D9,F9)</f>
        <v>18</v>
      </c>
      <c r="G10" s="4"/>
      <c r="H10" s="3">
        <f>H13-SUM(B9,D9,F9,H9)</f>
        <v>18</v>
      </c>
      <c r="I10" s="4"/>
      <c r="J10" s="3">
        <f>J13-SUM(B9,D9,F9,H9,J9)</f>
        <v>18</v>
      </c>
      <c r="K10" s="4"/>
      <c r="L10" s="3">
        <f>L13-SUM(B9,D9,F9,H9,J9,L9)</f>
        <v>18</v>
      </c>
      <c r="M10" s="4"/>
      <c r="N10" s="3">
        <f>N13-SUM(B9,D9,F9,H9,J9,L9,N9)</f>
        <v>0</v>
      </c>
      <c r="O10" s="4"/>
    </row>
    <row r="11" spans="1:15">
      <c r="A11" s="21" t="s">
        <v>65</v>
      </c>
      <c r="B11" s="8" t="str">
        <f>IFERROR(LOOKUP(C11,档位积分1:档位积分5,第1档:第5档),"无奖励")</f>
        <v>第2档</v>
      </c>
      <c r="C11" s="9">
        <f>SUM(C3:C7)+C9</f>
        <v>2960</v>
      </c>
      <c r="D11" s="8" t="str">
        <f>IFERROR(LOOKUP(E11,档位积分1:档位积分5,第1档:第5档),"无奖励")</f>
        <v>第2档</v>
      </c>
      <c r="E11" s="9">
        <f>SUM(E3:E7)+E9</f>
        <v>2903.0113636363635</v>
      </c>
      <c r="F11" s="8" t="str">
        <f>IFERROR(LOOKUP(G11,档位积分1:档位积分5,第1档:第5档),"无奖励")</f>
        <v>第2档</v>
      </c>
      <c r="G11" s="9">
        <f>SUM(G3:G7)+G9</f>
        <v>2903.0113636363635</v>
      </c>
      <c r="H11" s="8" t="str">
        <f>IFERROR(LOOKUP(I11,档位积分1:档位积分5,第1档:第5档),"无奖励")</f>
        <v>第1档</v>
      </c>
      <c r="I11" s="9">
        <f>SUM(I3:I7)+I9</f>
        <v>860</v>
      </c>
      <c r="J11" s="8" t="str">
        <f>IFERROR(LOOKUP(K11,档位积分1:档位积分5,第1档:第5档),"无奖励")</f>
        <v>第1档</v>
      </c>
      <c r="K11" s="9">
        <f>SUM(K3:K7)+K9</f>
        <v>860</v>
      </c>
      <c r="L11" s="8" t="str">
        <f>IFERROR(LOOKUP(M11,档位积分1:档位积分5,第1档:第5档),"无奖励")</f>
        <v>第1档</v>
      </c>
      <c r="M11" s="9">
        <f>SUM(M3:M7)+M9</f>
        <v>860</v>
      </c>
      <c r="N11" s="8" t="str">
        <f>IFERROR(LOOKUP(O11,档位积分1:档位积分5,第1档:第5档),"无奖励")</f>
        <v>第1档</v>
      </c>
      <c r="O11" s="9">
        <f>SUM(O3:O7)+O9</f>
        <v>1579.865</v>
      </c>
    </row>
    <row r="12" spans="1:15">
      <c r="A12" s="17" t="str">
        <f>"累积"&amp;抽奖道具</f>
        <v>累积刮刮券</v>
      </c>
      <c r="B12" s="3">
        <f>SUM(B3:B6)</f>
        <v>148</v>
      </c>
      <c r="C12" s="4">
        <f>B7*实测高级道具*积分规则2</f>
        <v>0</v>
      </c>
      <c r="D12" s="3">
        <f>B12+SUM(D3:D6)</f>
        <v>291</v>
      </c>
      <c r="E12" s="4">
        <f>D12*$R$27</f>
        <v>0</v>
      </c>
      <c r="F12" s="3">
        <f>D12+SUM(F3:F6)</f>
        <v>434</v>
      </c>
      <c r="G12" s="4">
        <f>F12*$R$27</f>
        <v>0</v>
      </c>
      <c r="H12" s="3">
        <f>F12+SUM(H3:H6)</f>
        <v>477</v>
      </c>
      <c r="I12" s="4">
        <f>H12*$R$27</f>
        <v>0</v>
      </c>
      <c r="J12" s="3">
        <f>H12+SUM(J3:J6)</f>
        <v>520</v>
      </c>
      <c r="K12" s="4">
        <f>J12*$R$27</f>
        <v>0</v>
      </c>
      <c r="L12" s="3">
        <f>J12+SUM(L3:L6)</f>
        <v>563</v>
      </c>
      <c r="M12" s="4">
        <f>L12*$R$27</f>
        <v>0</v>
      </c>
      <c r="N12" s="3">
        <f>L12+SUM(N3:N6)</f>
        <v>706</v>
      </c>
      <c r="O12" s="4">
        <f>N12*$R$27</f>
        <v>0</v>
      </c>
    </row>
    <row r="13" spans="1:15">
      <c r="A13" s="17" t="s">
        <v>36</v>
      </c>
      <c r="B13" s="3">
        <f>IFERROR(LOOKUP(C11,档位积分1:档位积分5,档位奖励1:档位奖励5),0)</f>
        <v>6</v>
      </c>
      <c r="C13" s="4">
        <f>B13*随机箱积分</f>
        <v>61.529999999999994</v>
      </c>
      <c r="D13" s="3">
        <f>IFERROR(LOOKUP(E11,档位积分1:档位积分5,档位奖励1:档位奖励5),0)+B13</f>
        <v>12</v>
      </c>
      <c r="E13" s="4">
        <f>D13*随机箱积分</f>
        <v>123.05999999999999</v>
      </c>
      <c r="F13" s="3">
        <f>IFERROR(LOOKUP(G11,档位积分1:档位积分5,档位奖励1:档位奖励5),0)+D13</f>
        <v>18</v>
      </c>
      <c r="G13" s="4">
        <f>F13*随机箱积分</f>
        <v>184.58999999999997</v>
      </c>
      <c r="H13" s="3">
        <f>IFERROR(LOOKUP(I11,档位积分1:档位积分5,档位奖励1:档位奖励5),0)+F13</f>
        <v>18</v>
      </c>
      <c r="I13" s="4">
        <f>H13*随机箱积分</f>
        <v>184.58999999999997</v>
      </c>
      <c r="J13" s="3">
        <f>IFERROR(LOOKUP(K11,档位积分1:档位积分5,档位奖励1:档位奖励5),0)+H13</f>
        <v>18</v>
      </c>
      <c r="K13" s="4">
        <f>J13*随机箱积分</f>
        <v>184.58999999999997</v>
      </c>
      <c r="L13" s="3">
        <f>IFERROR(LOOKUP(M11,档位积分1:档位积分5,档位奖励1:档位奖励5),0)+J13</f>
        <v>18</v>
      </c>
      <c r="M13" s="4">
        <f>L13*随机箱积分</f>
        <v>184.58999999999997</v>
      </c>
      <c r="N13" s="3">
        <f>IFERROR(LOOKUP(O11,档位积分1:档位积分5,档位奖励1:档位奖励5),0)+L13</f>
        <v>18</v>
      </c>
      <c r="O13" s="4">
        <f>N13*随机箱积分</f>
        <v>184.58999999999997</v>
      </c>
    </row>
    <row r="14" spans="1:15">
      <c r="A14" s="17" t="str">
        <f>普通兑换道具</f>
        <v>香草冰淇淋</v>
      </c>
      <c r="B14" s="22">
        <f>B7*实测普通道具</f>
        <v>0</v>
      </c>
      <c r="C14" s="4"/>
      <c r="D14" s="22">
        <f>D7*实测普通道具+B14</f>
        <v>2730.6818181818185</v>
      </c>
      <c r="E14" s="4"/>
      <c r="F14" s="22">
        <f>F7*实测普通道具+D14</f>
        <v>5461.3636363636369</v>
      </c>
      <c r="G14" s="23"/>
      <c r="H14" s="22">
        <f>H7*实测普通道具+F14</f>
        <v>5461.3636363636369</v>
      </c>
      <c r="I14" s="23"/>
      <c r="J14" s="22">
        <f>J7*实测普通道具+H14</f>
        <v>5461.3636363636369</v>
      </c>
      <c r="K14" s="23"/>
      <c r="L14" s="22">
        <f>L7*实测普通道具+J14</f>
        <v>5461.3636363636369</v>
      </c>
      <c r="M14" s="23"/>
      <c r="N14" s="22">
        <f>ROUNDDOWN(N7*实测普通道具+L14-2900,0)</f>
        <v>30195</v>
      </c>
      <c r="O14" s="4"/>
    </row>
    <row r="15" spans="1:15" ht="16.2" thickBot="1">
      <c r="A15" s="17" t="str">
        <f>高级兑换道具</f>
        <v>梦幻冰淇淋</v>
      </c>
      <c r="B15" s="22">
        <f>B7*实测高级道具+B9*随机箱高级道具</f>
        <v>0</v>
      </c>
      <c r="C15" s="4"/>
      <c r="D15" s="22">
        <f>D7*实测高级道具+D9*随机箱高级道具+B15</f>
        <v>43.011363636363633</v>
      </c>
      <c r="E15" s="23"/>
      <c r="F15" s="22">
        <f>F7*实测高级道具+F9*随机箱高级道具+D15</f>
        <v>86.022727272727266</v>
      </c>
      <c r="G15" s="23"/>
      <c r="H15" s="22">
        <f>H7*实测高级道具+H9*随机箱高级道具+F15</f>
        <v>86.022727272727266</v>
      </c>
      <c r="I15" s="23"/>
      <c r="J15" s="22">
        <f>J7*实测高级道具+J9*随机箱高级道具+H15</f>
        <v>86.022727272727266</v>
      </c>
      <c r="K15" s="23"/>
      <c r="L15" s="22">
        <f>L7*实测高级道具+L9*随机箱高级道具+J15</f>
        <v>86.022727272727266</v>
      </c>
      <c r="M15" s="23"/>
      <c r="N15" s="22">
        <f>ROUNDDOWN(N7*实测高级道具+N9*随机箱高级道具+L15+N6,0)</f>
        <v>805</v>
      </c>
      <c r="O15" s="4"/>
    </row>
    <row r="16" spans="1:15" ht="16.8" thickTop="1" thickBot="1">
      <c r="A16" s="24" t="s">
        <v>66</v>
      </c>
      <c r="B16" s="181" t="str">
        <f>B11</f>
        <v>第2档</v>
      </c>
      <c r="C16" s="182"/>
      <c r="D16" s="181" t="str">
        <f>D11</f>
        <v>第2档</v>
      </c>
      <c r="E16" s="182"/>
      <c r="F16" s="181" t="str">
        <f>F11</f>
        <v>第2档</v>
      </c>
      <c r="G16" s="182"/>
      <c r="H16" s="181" t="str">
        <f>H11</f>
        <v>第1档</v>
      </c>
      <c r="I16" s="182"/>
      <c r="J16" s="181" t="str">
        <f>J11</f>
        <v>第1档</v>
      </c>
      <c r="K16" s="182"/>
      <c r="L16" s="181" t="str">
        <f>L11</f>
        <v>第1档</v>
      </c>
      <c r="M16" s="182"/>
      <c r="N16" s="181" t="str">
        <f>N11</f>
        <v>第1档</v>
      </c>
      <c r="O16" s="182"/>
    </row>
    <row r="17" spans="1:18" ht="28.2" thickTop="1">
      <c r="A17" s="166" t="s">
        <v>67</v>
      </c>
      <c r="B17" s="183">
        <f>SUM(B5,D5,F5,H5,J5,L5,N5)*钻石购买</f>
        <v>45000</v>
      </c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5"/>
    </row>
    <row r="18" spans="1:18" ht="38.4" customHeight="1" thickBot="1">
      <c r="A18" s="167"/>
      <c r="B18" s="186" t="str">
        <f>"最终收益："&amp;ROUNDDOWN(N15,0)&amp;A15&amp;"+"&amp;ROUNDDOWN(N14,0)&amp;A14</f>
        <v>最终收益：805梦幻冰淇淋+30195香草冰淇淋</v>
      </c>
      <c r="C18" s="187"/>
      <c r="D18" s="187"/>
      <c r="E18" s="187"/>
      <c r="F18" s="187"/>
      <c r="G18" s="187"/>
      <c r="H18" s="187"/>
      <c r="I18" s="187"/>
      <c r="J18" s="187" t="s">
        <v>88</v>
      </c>
      <c r="K18" s="187"/>
      <c r="L18" s="187"/>
      <c r="M18" s="187"/>
      <c r="N18" s="187"/>
      <c r="O18" s="188"/>
    </row>
    <row r="19" spans="1:18" ht="17.7" customHeight="1" thickTop="1">
      <c r="A19" s="37"/>
      <c r="B19" s="37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8" ht="17.7" customHeight="1">
      <c r="A20" s="37"/>
      <c r="B20" s="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8" ht="17.7" customHeight="1">
      <c r="A21" s="37"/>
      <c r="B21" s="92"/>
      <c r="C21" s="93"/>
      <c r="D21" s="93"/>
      <c r="E21" s="93"/>
      <c r="F21" s="93"/>
      <c r="G21" s="93"/>
      <c r="H21" s="93"/>
      <c r="I21" s="93"/>
      <c r="J21" s="12"/>
      <c r="K21" s="12"/>
      <c r="L21" s="12"/>
      <c r="M21" s="12"/>
      <c r="N21" s="12"/>
      <c r="O21" s="12"/>
    </row>
    <row r="22" spans="1:18" ht="17.7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8">
      <c r="E23" s="176"/>
      <c r="F23" s="176"/>
      <c r="G23" s="176"/>
      <c r="H23" s="176"/>
      <c r="J23" s="160"/>
      <c r="K23" s="160"/>
      <c r="L23" s="160"/>
      <c r="M23" s="160"/>
      <c r="O23" s="160"/>
      <c r="P23" s="160"/>
      <c r="Q23" s="160"/>
      <c r="R23" s="160"/>
    </row>
    <row r="24" spans="1:18">
      <c r="J24" s="6"/>
      <c r="K24" s="6"/>
      <c r="L24" s="6"/>
      <c r="M24" s="6"/>
      <c r="O24" s="6"/>
      <c r="Q24" s="6"/>
      <c r="R24" s="6"/>
    </row>
    <row r="25" spans="1:18">
      <c r="F25" s="2"/>
      <c r="J25" s="6"/>
      <c r="K25" s="6"/>
      <c r="L25" s="39"/>
      <c r="M25" s="6"/>
      <c r="O25" s="6"/>
      <c r="Q25" s="39"/>
      <c r="R25" s="6"/>
    </row>
    <row r="26" spans="1:18">
      <c r="F26" s="28"/>
      <c r="J26" s="6"/>
      <c r="K26" s="6"/>
      <c r="L26" s="40"/>
      <c r="M26" s="6"/>
      <c r="O26" s="6"/>
      <c r="Q26" s="40"/>
      <c r="R26" s="6"/>
    </row>
    <row r="27" spans="1:18">
      <c r="F27" s="29"/>
      <c r="J27" s="6"/>
      <c r="K27" s="6"/>
      <c r="L27" s="6"/>
      <c r="M27" s="41"/>
      <c r="O27" s="35"/>
      <c r="Q27" s="35"/>
      <c r="R27" s="42"/>
    </row>
    <row r="28" spans="1:18">
      <c r="F28" s="38"/>
      <c r="G28" s="38"/>
      <c r="H28" s="38"/>
      <c r="J28" s="6"/>
      <c r="L28" s="40"/>
      <c r="M28" s="6"/>
      <c r="N28" s="43"/>
      <c r="O28" s="6"/>
    </row>
    <row r="29" spans="1:18">
      <c r="E29" s="6"/>
      <c r="F29" s="43"/>
      <c r="G29" s="6"/>
      <c r="J29" s="6"/>
      <c r="L29" s="40"/>
      <c r="M29" s="6"/>
      <c r="N29" s="6"/>
      <c r="O29" s="41"/>
    </row>
    <row r="30" spans="1:18">
      <c r="A30" s="175"/>
      <c r="B30" s="175"/>
      <c r="C30" s="175"/>
      <c r="J30" s="160"/>
      <c r="K30" s="160"/>
      <c r="L30" s="160"/>
      <c r="M30" s="160"/>
    </row>
    <row r="31" spans="1:18">
      <c r="J31" s="6"/>
      <c r="L31" s="6"/>
      <c r="M31" s="6"/>
      <c r="O31" s="35"/>
    </row>
    <row r="32" spans="1:18">
      <c r="J32" s="6"/>
      <c r="L32" s="6"/>
      <c r="M32" s="44"/>
      <c r="O32" s="35"/>
    </row>
    <row r="33" spans="1:15">
      <c r="J33" s="6"/>
      <c r="L33" s="6"/>
      <c r="M33" s="44"/>
      <c r="O33" s="35"/>
    </row>
    <row r="34" spans="1:15">
      <c r="A34" s="175"/>
      <c r="B34" s="175"/>
      <c r="C34" s="175"/>
      <c r="J34" s="6"/>
      <c r="L34" s="6"/>
      <c r="M34" s="44"/>
      <c r="O34" s="35"/>
    </row>
    <row r="35" spans="1:15">
      <c r="J35" s="6"/>
      <c r="L35" s="6"/>
      <c r="M35" s="6"/>
      <c r="O35" s="35"/>
    </row>
    <row r="36" spans="1:15">
      <c r="J36" s="6"/>
      <c r="L36" s="6"/>
      <c r="M36" s="6"/>
      <c r="O36" s="35"/>
    </row>
    <row r="37" spans="1:15">
      <c r="J37" s="6"/>
      <c r="L37" s="6"/>
      <c r="M37" s="6"/>
      <c r="O37" s="35"/>
    </row>
    <row r="38" spans="1:15">
      <c r="J38" s="6"/>
      <c r="L38" s="40"/>
      <c r="M38" s="6"/>
      <c r="O38" s="35"/>
    </row>
    <row r="39" spans="1:15">
      <c r="O39" s="35"/>
    </row>
    <row r="40" spans="1:15">
      <c r="O40" s="35"/>
    </row>
    <row r="41" spans="1:15">
      <c r="O41" s="35"/>
    </row>
    <row r="42" spans="1:15">
      <c r="O42" s="35"/>
    </row>
    <row r="43" spans="1:15">
      <c r="O43" s="35"/>
    </row>
    <row r="44" spans="1:15">
      <c r="O44" s="35"/>
    </row>
    <row r="45" spans="1:15">
      <c r="C45" s="2"/>
      <c r="O45" s="35"/>
    </row>
    <row r="46" spans="1:15">
      <c r="O46" s="35"/>
    </row>
    <row r="47" spans="1:15">
      <c r="O47" s="35"/>
    </row>
    <row r="48" spans="1:15">
      <c r="O48" s="35"/>
    </row>
    <row r="49" spans="15:15">
      <c r="O49" s="35"/>
    </row>
    <row r="50" spans="15:15">
      <c r="O50" s="35"/>
    </row>
    <row r="51" spans="15:15">
      <c r="O51" s="35"/>
    </row>
    <row r="52" spans="15:15">
      <c r="O52" s="35"/>
    </row>
    <row r="53" spans="15:15">
      <c r="O53" s="35"/>
    </row>
    <row r="54" spans="15:15">
      <c r="O54" s="35"/>
    </row>
  </sheetData>
  <mergeCells count="24">
    <mergeCell ref="A30:C30"/>
    <mergeCell ref="J30:M30"/>
    <mergeCell ref="A34:C34"/>
    <mergeCell ref="A17:A18"/>
    <mergeCell ref="B17:O17"/>
    <mergeCell ref="B18:I18"/>
    <mergeCell ref="J18:O18"/>
    <mergeCell ref="E23:H23"/>
    <mergeCell ref="J23:M23"/>
    <mergeCell ref="O23:R23"/>
    <mergeCell ref="N1:O1"/>
    <mergeCell ref="B16:C16"/>
    <mergeCell ref="D16:E16"/>
    <mergeCell ref="F16:G16"/>
    <mergeCell ref="H16:I16"/>
    <mergeCell ref="J16:K16"/>
    <mergeCell ref="L16:M16"/>
    <mergeCell ref="N16:O16"/>
    <mergeCell ref="B1:C1"/>
    <mergeCell ref="D1:E1"/>
    <mergeCell ref="F1:G1"/>
    <mergeCell ref="H1:I1"/>
    <mergeCell ref="J1:K1"/>
    <mergeCell ref="L1:M1"/>
  </mergeCells>
  <phoneticPr fontId="24" type="noConversion"/>
  <conditionalFormatting sqref="B5:O5">
    <cfRule type="cellIs" dxfId="11" priority="1" operator="greaterThan">
      <formula>0</formula>
    </cfRule>
  </conditionalFormatting>
  <conditionalFormatting sqref="B6:O6">
    <cfRule type="cellIs" dxfId="10" priority="3" operator="greaterThan">
      <formula>0</formula>
    </cfRule>
  </conditionalFormatting>
  <conditionalFormatting sqref="B7:O7">
    <cfRule type="cellIs" dxfId="9" priority="4" operator="greaterThan">
      <formula>0</formula>
    </cfRule>
  </conditionalFormatting>
  <conditionalFormatting sqref="B9:O9"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08EE-956B-4E21-A32A-26C5472787EA}">
  <dimension ref="A1:U33"/>
  <sheetViews>
    <sheetView workbookViewId="0">
      <selection activeCell="B21" sqref="B21:I21"/>
    </sheetView>
  </sheetViews>
  <sheetFormatPr defaultRowHeight="15.6"/>
  <cols>
    <col min="1" max="1" width="4.44140625" style="61" customWidth="1"/>
    <col min="2" max="2" width="8.88671875" style="61" customWidth="1"/>
    <col min="3" max="3" width="53.109375" style="61" customWidth="1"/>
    <col min="4" max="4" width="9.109375" style="61" bestFit="1" customWidth="1"/>
    <col min="5" max="7" width="11.109375" style="61" bestFit="1" customWidth="1"/>
    <col min="8" max="9" width="15.77734375" style="61" customWidth="1"/>
    <col min="10" max="16384" width="8.88671875" style="61"/>
  </cols>
  <sheetData>
    <row r="1" spans="2:21" ht="16.2" thickBot="1"/>
    <row r="2" spans="2:21" ht="24" customHeight="1" thickTop="1" thickBot="1">
      <c r="B2" s="189" t="s">
        <v>83</v>
      </c>
      <c r="C2" s="190"/>
      <c r="D2" s="190"/>
      <c r="E2" s="190"/>
      <c r="F2" s="190"/>
      <c r="G2" s="190"/>
      <c r="H2" s="190"/>
      <c r="I2" s="191"/>
      <c r="K2" s="91"/>
      <c r="L2" s="91"/>
      <c r="M2" s="91"/>
      <c r="N2" s="91"/>
      <c r="O2" s="91"/>
      <c r="P2" s="91"/>
      <c r="Q2" s="91"/>
      <c r="R2" s="91"/>
    </row>
    <row r="3" spans="2:21" ht="16.8" customHeight="1" thickTop="1" thickBot="1">
      <c r="B3" s="79"/>
      <c r="C3" s="80"/>
      <c r="D3" s="80"/>
      <c r="E3" s="80"/>
      <c r="F3" s="80"/>
      <c r="G3" s="80"/>
      <c r="H3" s="80"/>
      <c r="I3" s="81"/>
      <c r="K3" s="91"/>
      <c r="L3" s="91"/>
      <c r="M3" s="91"/>
      <c r="N3" s="91"/>
      <c r="O3" s="91"/>
      <c r="P3" s="91"/>
      <c r="Q3" s="91"/>
      <c r="R3" s="91"/>
    </row>
    <row r="4" spans="2:21" ht="17.55" customHeight="1" thickTop="1">
      <c r="B4" s="141" t="s">
        <v>81</v>
      </c>
      <c r="C4" s="142"/>
      <c r="D4" s="141" t="str">
        <f>"期望"&amp;普通兑换道具</f>
        <v>期望香草冰淇淋</v>
      </c>
      <c r="E4" s="145"/>
      <c r="F4" s="142"/>
      <c r="G4" s="145" t="str">
        <f>"期望"&amp;高级兑换道具</f>
        <v>期望梦幻冰淇淋</v>
      </c>
      <c r="H4" s="145"/>
      <c r="I4" s="142"/>
      <c r="K4" s="91"/>
      <c r="L4" s="91"/>
      <c r="M4" s="91"/>
      <c r="N4" s="91"/>
      <c r="O4" s="91"/>
      <c r="P4" s="91"/>
      <c r="Q4" s="91"/>
      <c r="R4" s="91"/>
    </row>
    <row r="5" spans="2:21" ht="17.55" customHeight="1">
      <c r="B5" s="143"/>
      <c r="C5" s="144"/>
      <c r="D5" s="143"/>
      <c r="E5" s="146"/>
      <c r="F5" s="144"/>
      <c r="G5" s="146"/>
      <c r="H5" s="146"/>
      <c r="I5" s="144"/>
      <c r="K5" s="91"/>
      <c r="L5" s="91"/>
      <c r="M5" s="91"/>
      <c r="N5" s="91"/>
      <c r="O5" s="91"/>
      <c r="P5" s="91"/>
      <c r="Q5" s="91"/>
      <c r="R5" s="91"/>
      <c r="T5" s="89"/>
      <c r="U5" s="89"/>
    </row>
    <row r="6" spans="2:21" ht="20.85" customHeight="1" thickBot="1">
      <c r="B6" s="139">
        <f>夏日派对4.5w!B17</f>
        <v>45000</v>
      </c>
      <c r="C6" s="140"/>
      <c r="D6" s="149">
        <f>夏日派对4.5w!N14</f>
        <v>30195</v>
      </c>
      <c r="E6" s="150"/>
      <c r="F6" s="151"/>
      <c r="G6" s="147">
        <f>夏日派对4.5w!N15</f>
        <v>805</v>
      </c>
      <c r="H6" s="147"/>
      <c r="I6" s="148"/>
      <c r="K6" s="91"/>
      <c r="L6" s="91"/>
      <c r="M6" s="91"/>
      <c r="N6" s="91"/>
      <c r="O6" s="91"/>
      <c r="P6" s="91"/>
      <c r="Q6" s="91"/>
      <c r="R6" s="91"/>
      <c r="T6" s="89"/>
      <c r="U6" s="89"/>
    </row>
    <row r="7" spans="2:21" ht="13.35" customHeight="1" thickTop="1" thickBot="1">
      <c r="B7" s="82"/>
      <c r="C7" s="83"/>
      <c r="D7" s="84"/>
      <c r="E7" s="84"/>
      <c r="F7" s="85"/>
      <c r="G7" s="85"/>
      <c r="H7" s="86"/>
      <c r="I7" s="87"/>
      <c r="K7" s="91"/>
      <c r="L7" s="91"/>
      <c r="M7" s="91"/>
      <c r="N7" s="91"/>
      <c r="O7" s="91"/>
      <c r="P7" s="91"/>
      <c r="Q7" s="91"/>
      <c r="R7" s="91"/>
      <c r="T7" s="90"/>
      <c r="U7" s="90"/>
    </row>
    <row r="8" spans="2:21" ht="17.55" customHeight="1" thickTop="1">
      <c r="B8" s="130" t="s">
        <v>84</v>
      </c>
      <c r="C8" s="131"/>
      <c r="D8" s="131"/>
      <c r="E8" s="131"/>
      <c r="F8" s="131"/>
      <c r="G8" s="131"/>
      <c r="H8" s="131"/>
      <c r="I8" s="132"/>
      <c r="K8" s="91"/>
      <c r="L8" s="91"/>
      <c r="M8" s="91"/>
      <c r="N8" s="91"/>
      <c r="O8" s="91"/>
      <c r="P8" s="91"/>
      <c r="Q8" s="91"/>
      <c r="R8" s="91"/>
    </row>
    <row r="9" spans="2:21" ht="17.55" customHeight="1" thickBot="1">
      <c r="B9" s="133"/>
      <c r="C9" s="134"/>
      <c r="D9" s="134"/>
      <c r="E9" s="134"/>
      <c r="F9" s="134"/>
      <c r="G9" s="134"/>
      <c r="H9" s="134"/>
      <c r="I9" s="135"/>
      <c r="K9" s="91"/>
      <c r="L9" s="91"/>
      <c r="M9" s="91"/>
      <c r="N9" s="91"/>
      <c r="O9" s="91"/>
      <c r="P9" s="91"/>
      <c r="Q9" s="91"/>
      <c r="R9" s="91"/>
    </row>
    <row r="10" spans="2:21" ht="16.8" customHeight="1" thickTop="1" thickBot="1">
      <c r="B10" s="79"/>
      <c r="C10" s="80"/>
      <c r="D10" s="80"/>
      <c r="E10" s="80"/>
      <c r="F10" s="80"/>
      <c r="G10" s="80"/>
      <c r="H10" s="80"/>
      <c r="I10" s="81"/>
      <c r="K10" s="91"/>
      <c r="L10" s="91"/>
      <c r="M10" s="91"/>
      <c r="N10" s="91"/>
      <c r="O10" s="91"/>
      <c r="P10" s="91"/>
      <c r="Q10" s="91"/>
      <c r="R10" s="91"/>
    </row>
    <row r="11" spans="2:21" ht="19.2" customHeight="1" thickTop="1">
      <c r="B11" s="73" t="s">
        <v>68</v>
      </c>
      <c r="C11" s="74" t="s">
        <v>78</v>
      </c>
      <c r="D11" s="74" t="str">
        <f>夏日派对4.5w!A16</f>
        <v>目标档位</v>
      </c>
      <c r="E11" s="74" t="str">
        <f>夏日派对4.5w!A7</f>
        <v>使用刮刮券</v>
      </c>
      <c r="F11" s="74" t="str">
        <f>夏日派对4.5w!A8</f>
        <v>剩余刮刮券</v>
      </c>
      <c r="G11" s="74" t="str">
        <f>夏日派对4.5w!A10</f>
        <v>剩余随机箱</v>
      </c>
      <c r="H11" s="74" t="str">
        <f>"期望"&amp;普通兑换道具</f>
        <v>期望香草冰淇淋</v>
      </c>
      <c r="I11" s="75" t="str">
        <f>"期望"&amp;高级兑换道具</f>
        <v>期望梦幻冰淇淋</v>
      </c>
      <c r="K11" s="91"/>
      <c r="L11" s="91"/>
      <c r="M11" s="91"/>
      <c r="N11" s="91"/>
      <c r="O11" s="91"/>
      <c r="P11" s="91"/>
      <c r="Q11" s="91"/>
      <c r="R11" s="91"/>
    </row>
    <row r="12" spans="2:21" ht="24" customHeight="1">
      <c r="B12" s="71" t="s">
        <v>69</v>
      </c>
      <c r="C12" s="67" t="s">
        <v>101</v>
      </c>
      <c r="D12" s="67" t="str">
        <f>夏日派对4.5w!B16</f>
        <v>第2档</v>
      </c>
      <c r="E12" s="67">
        <f>夏日派对4.5w!B7</f>
        <v>0</v>
      </c>
      <c r="F12" s="67">
        <f>夏日派对4.5w!B8</f>
        <v>148</v>
      </c>
      <c r="G12" s="67">
        <f>夏日派对4.5w!B10</f>
        <v>6</v>
      </c>
      <c r="H12" s="68">
        <f>夏日派对4.5w!B15</f>
        <v>0</v>
      </c>
      <c r="I12" s="72">
        <f>夏日派对4.5w!B14</f>
        <v>0</v>
      </c>
      <c r="K12" s="91"/>
      <c r="L12" s="91"/>
      <c r="M12" s="91"/>
      <c r="N12" s="91"/>
      <c r="O12" s="91"/>
      <c r="P12" s="91"/>
      <c r="Q12" s="91"/>
      <c r="R12" s="91"/>
    </row>
    <row r="13" spans="2:21" ht="24" customHeight="1">
      <c r="B13" s="69" t="s">
        <v>70</v>
      </c>
      <c r="C13" s="65" t="s">
        <v>103</v>
      </c>
      <c r="D13" s="65" t="str">
        <f>夏日派对4.5w!D16</f>
        <v>第2档</v>
      </c>
      <c r="E13" s="65">
        <f>夏日派对4.5w!D7</f>
        <v>50</v>
      </c>
      <c r="F13" s="65">
        <f>夏日派对4.5w!D8</f>
        <v>241</v>
      </c>
      <c r="G13" s="65">
        <f>夏日派对4.5w!D10</f>
        <v>12</v>
      </c>
      <c r="H13" s="66">
        <f>夏日派对4.5w!D14</f>
        <v>2730.6818181818185</v>
      </c>
      <c r="I13" s="70">
        <f>夏日派对4.5w!D15</f>
        <v>43.011363636363633</v>
      </c>
      <c r="K13" s="91"/>
      <c r="L13" s="91"/>
      <c r="M13" s="91"/>
      <c r="N13" s="91"/>
      <c r="O13" s="91"/>
      <c r="P13" s="91"/>
      <c r="Q13" s="91"/>
      <c r="R13" s="91"/>
    </row>
    <row r="14" spans="2:21" ht="24" customHeight="1">
      <c r="B14" s="69" t="s">
        <v>71</v>
      </c>
      <c r="C14" s="65" t="s">
        <v>103</v>
      </c>
      <c r="D14" s="65" t="str">
        <f>夏日派对4.5w!F16</f>
        <v>第2档</v>
      </c>
      <c r="E14" s="66">
        <f>夏日派对4.5w!F7</f>
        <v>50</v>
      </c>
      <c r="F14" s="66">
        <f>夏日派对4.5w!F8</f>
        <v>334</v>
      </c>
      <c r="G14" s="66">
        <f>夏日派对4.5w!F10</f>
        <v>18</v>
      </c>
      <c r="H14" s="66">
        <f>夏日派对4.5w!F14</f>
        <v>5461.3636363636369</v>
      </c>
      <c r="I14" s="70">
        <f>夏日派对4.5w!F15</f>
        <v>86.022727272727266</v>
      </c>
      <c r="K14" s="91"/>
      <c r="L14" s="91"/>
      <c r="M14" s="91"/>
      <c r="N14" s="91"/>
      <c r="O14" s="91"/>
      <c r="P14" s="91"/>
      <c r="Q14" s="91"/>
      <c r="R14" s="91"/>
    </row>
    <row r="15" spans="2:21" ht="24" customHeight="1">
      <c r="B15" s="69" t="s">
        <v>72</v>
      </c>
      <c r="C15" s="65" t="s">
        <v>104</v>
      </c>
      <c r="D15" s="65" t="str">
        <f>夏日派对4.5w!H16</f>
        <v>第1档</v>
      </c>
      <c r="E15" s="66">
        <f>夏日派对4.5w!H7</f>
        <v>0</v>
      </c>
      <c r="F15" s="66">
        <f>夏日派对4.5w!H8</f>
        <v>377</v>
      </c>
      <c r="G15" s="66">
        <f>夏日派对4.5w!H10</f>
        <v>18</v>
      </c>
      <c r="H15" s="66">
        <f>夏日派对4.5w!H14</f>
        <v>5461.3636363636369</v>
      </c>
      <c r="I15" s="70">
        <f>夏日派对4.5w!H15</f>
        <v>86.022727272727266</v>
      </c>
      <c r="K15" s="91"/>
      <c r="L15" s="91"/>
      <c r="M15" s="91"/>
      <c r="N15" s="91"/>
      <c r="O15" s="91"/>
      <c r="P15" s="91"/>
      <c r="Q15" s="91"/>
      <c r="R15" s="91"/>
    </row>
    <row r="16" spans="2:21" ht="24" customHeight="1">
      <c r="B16" s="69" t="s">
        <v>73</v>
      </c>
      <c r="C16" s="65" t="s">
        <v>104</v>
      </c>
      <c r="D16" s="65" t="str">
        <f>夏日派对4.5w!J16</f>
        <v>第1档</v>
      </c>
      <c r="E16" s="65">
        <f>夏日派对4.5w!J7</f>
        <v>0</v>
      </c>
      <c r="F16" s="65">
        <f>夏日派对4.5w!J8</f>
        <v>420</v>
      </c>
      <c r="G16" s="65">
        <f>夏日派对4.5w!J10</f>
        <v>18</v>
      </c>
      <c r="H16" s="66">
        <f>夏日派对4.5w!J14</f>
        <v>5461.3636363636369</v>
      </c>
      <c r="I16" s="70">
        <f>夏日派对4.5w!J15</f>
        <v>86.022727272727266</v>
      </c>
      <c r="K16" s="91"/>
      <c r="L16" s="91"/>
      <c r="M16" s="91"/>
      <c r="N16" s="91"/>
      <c r="O16" s="91"/>
      <c r="P16" s="91"/>
      <c r="Q16" s="91"/>
      <c r="R16" s="91"/>
    </row>
    <row r="17" spans="1:18" ht="24" customHeight="1">
      <c r="B17" s="69" t="s">
        <v>74</v>
      </c>
      <c r="C17" s="65" t="s">
        <v>104</v>
      </c>
      <c r="D17" s="65" t="str">
        <f>夏日派对4.5w!L16</f>
        <v>第1档</v>
      </c>
      <c r="E17" s="65">
        <f>夏日派对4.5w!L7</f>
        <v>0</v>
      </c>
      <c r="F17" s="65">
        <f>夏日派对4.5w!L8</f>
        <v>463</v>
      </c>
      <c r="G17" s="65">
        <f>夏日派对4.5w!L10</f>
        <v>18</v>
      </c>
      <c r="H17" s="66">
        <f>夏日派对4.5w!L14</f>
        <v>5461.3636363636369</v>
      </c>
      <c r="I17" s="70">
        <f>夏日派对4.5w!L15</f>
        <v>86.022727272727266</v>
      </c>
      <c r="K17" s="91"/>
      <c r="L17" s="91"/>
      <c r="M17" s="91"/>
      <c r="N17" s="91"/>
      <c r="O17" s="91"/>
      <c r="P17" s="91"/>
      <c r="Q17" s="91"/>
      <c r="R17" s="91"/>
    </row>
    <row r="18" spans="1:18" ht="38.4" customHeight="1" thickBot="1">
      <c r="A18" s="61" t="s">
        <v>102</v>
      </c>
      <c r="B18" s="76" t="s">
        <v>75</v>
      </c>
      <c r="C18" s="77" t="s">
        <v>105</v>
      </c>
      <c r="D18" s="77" t="str">
        <f>夏日派对4.5w!N16</f>
        <v>第1档</v>
      </c>
      <c r="E18" s="77">
        <f>夏日派对4.5w!N7</f>
        <v>506</v>
      </c>
      <c r="F18" s="77">
        <f>夏日派对4.5w!N8</f>
        <v>0</v>
      </c>
      <c r="G18" s="77">
        <f>夏日派对4.5w!N10</f>
        <v>0</v>
      </c>
      <c r="H18" s="78">
        <f>夏日派对4.5w!N14</f>
        <v>30195</v>
      </c>
      <c r="I18" s="88">
        <f>夏日派对4.5w!N15</f>
        <v>805</v>
      </c>
      <c r="K18" s="91"/>
      <c r="L18" s="91"/>
      <c r="M18" s="91"/>
      <c r="N18" s="91"/>
      <c r="O18" s="91"/>
      <c r="P18" s="91"/>
      <c r="Q18" s="91"/>
      <c r="R18" s="91"/>
    </row>
    <row r="19" spans="1:18" ht="17.399999999999999" customHeight="1" thickTop="1" thickBot="1">
      <c r="B19" s="79"/>
      <c r="C19" s="80"/>
      <c r="D19" s="80"/>
      <c r="E19" s="80"/>
      <c r="F19" s="80"/>
      <c r="G19" s="80"/>
      <c r="H19" s="80"/>
      <c r="I19" s="81"/>
      <c r="K19" s="91"/>
      <c r="L19" s="91"/>
      <c r="M19" s="91"/>
      <c r="N19" s="91"/>
      <c r="O19" s="91"/>
      <c r="P19" s="91"/>
      <c r="Q19" s="91"/>
      <c r="R19" s="91"/>
    </row>
    <row r="20" spans="1:18" ht="18.45" customHeight="1" thickTop="1">
      <c r="B20" s="124" t="s">
        <v>76</v>
      </c>
      <c r="C20" s="125"/>
      <c r="D20" s="125"/>
      <c r="E20" s="125"/>
      <c r="F20" s="125"/>
      <c r="G20" s="125"/>
      <c r="H20" s="125"/>
      <c r="I20" s="126"/>
      <c r="K20" s="91"/>
      <c r="L20" s="91"/>
      <c r="M20" s="91"/>
      <c r="N20" s="91"/>
      <c r="O20" s="91"/>
      <c r="P20" s="91"/>
      <c r="Q20" s="91"/>
      <c r="R20" s="91"/>
    </row>
    <row r="21" spans="1:18" ht="66" customHeight="1" thickBot="1">
      <c r="B21" s="127" t="s">
        <v>110</v>
      </c>
      <c r="C21" s="128"/>
      <c r="D21" s="128"/>
      <c r="E21" s="128"/>
      <c r="F21" s="128"/>
      <c r="G21" s="128"/>
      <c r="H21" s="128"/>
      <c r="I21" s="129"/>
      <c r="K21" s="91"/>
      <c r="L21" s="91"/>
      <c r="M21" s="91"/>
      <c r="N21" s="91"/>
      <c r="O21" s="91"/>
      <c r="P21" s="91"/>
      <c r="Q21" s="91"/>
      <c r="R21" s="91"/>
    </row>
    <row r="22" spans="1:18" ht="34.5" customHeight="1" thickTop="1">
      <c r="B22" s="64"/>
      <c r="C22" s="64"/>
      <c r="D22" s="64"/>
      <c r="E22" s="64"/>
      <c r="F22" s="64"/>
      <c r="G22" s="64"/>
      <c r="H22" s="64"/>
      <c r="I22" s="64"/>
      <c r="K22" s="91"/>
      <c r="L22" s="91"/>
      <c r="M22" s="91"/>
      <c r="N22" s="91"/>
      <c r="O22" s="91"/>
      <c r="P22" s="91"/>
      <c r="Q22" s="91"/>
      <c r="R22" s="91"/>
    </row>
    <row r="23" spans="1:18" ht="12.9" customHeight="1">
      <c r="B23" s="64"/>
      <c r="C23" s="64"/>
      <c r="D23" s="64"/>
      <c r="E23" s="64"/>
      <c r="F23" s="64"/>
      <c r="G23" s="64"/>
      <c r="H23" s="64"/>
      <c r="I23" s="64"/>
      <c r="K23" s="91"/>
      <c r="L23" s="91"/>
      <c r="M23" s="91"/>
      <c r="N23" s="91"/>
      <c r="O23" s="91"/>
      <c r="P23" s="91"/>
      <c r="Q23" s="91"/>
      <c r="R23" s="91"/>
    </row>
    <row r="24" spans="1:18" ht="15.6" customHeight="1">
      <c r="B24" s="62"/>
      <c r="C24" s="62"/>
      <c r="D24" s="62"/>
      <c r="E24" s="62"/>
      <c r="F24" s="62"/>
      <c r="G24" s="62"/>
      <c r="H24" s="62"/>
      <c r="I24" s="62"/>
      <c r="K24" s="91"/>
      <c r="L24" s="91"/>
      <c r="M24" s="91"/>
      <c r="N24" s="91"/>
      <c r="O24" s="91"/>
      <c r="P24" s="91"/>
      <c r="Q24" s="91"/>
      <c r="R24" s="91"/>
    </row>
    <row r="25" spans="1:18" ht="16.2" customHeight="1">
      <c r="B25" s="63"/>
      <c r="C25" s="63"/>
      <c r="D25" s="63"/>
      <c r="E25" s="63"/>
      <c r="F25" s="63"/>
      <c r="G25" s="63"/>
      <c r="H25" s="63"/>
      <c r="I25" s="63"/>
      <c r="K25" s="91"/>
      <c r="L25" s="91"/>
      <c r="M25" s="91"/>
      <c r="N25" s="91"/>
      <c r="O25" s="91"/>
      <c r="P25" s="91"/>
      <c r="Q25" s="91"/>
      <c r="R25" s="91"/>
    </row>
    <row r="26" spans="1:18" ht="15.3" customHeight="1">
      <c r="B26" s="63"/>
      <c r="C26" s="63"/>
      <c r="D26" s="63"/>
      <c r="E26" s="63"/>
      <c r="F26" s="63"/>
      <c r="G26" s="63"/>
      <c r="H26" s="63"/>
      <c r="I26" s="63"/>
      <c r="K26" s="91"/>
      <c r="L26" s="91"/>
      <c r="M26" s="91"/>
      <c r="N26" s="91"/>
      <c r="O26" s="91"/>
      <c r="P26" s="91"/>
      <c r="Q26" s="91"/>
      <c r="R26" s="91"/>
    </row>
    <row r="27" spans="1:18" ht="22.95" customHeight="1">
      <c r="B27" s="63"/>
      <c r="C27" s="63"/>
      <c r="D27" s="63"/>
      <c r="E27" s="63"/>
      <c r="F27" s="63"/>
      <c r="G27" s="63"/>
      <c r="H27" s="63"/>
      <c r="I27" s="63"/>
      <c r="K27" s="91"/>
      <c r="L27" s="91"/>
      <c r="M27" s="91"/>
      <c r="N27" s="91"/>
      <c r="O27" s="91"/>
      <c r="P27" s="91"/>
      <c r="Q27" s="91"/>
      <c r="R27" s="91"/>
    </row>
    <row r="28" spans="1:18" ht="22.95" customHeight="1">
      <c r="K28" s="91"/>
      <c r="L28" s="91"/>
      <c r="M28" s="91"/>
      <c r="N28" s="91"/>
      <c r="O28" s="91"/>
      <c r="P28" s="91"/>
      <c r="Q28" s="91"/>
      <c r="R28" s="91"/>
    </row>
    <row r="29" spans="1:18" ht="22.95" customHeight="1">
      <c r="K29" s="91"/>
      <c r="L29" s="91"/>
      <c r="M29" s="91"/>
      <c r="N29" s="91"/>
      <c r="O29" s="91"/>
      <c r="P29" s="91"/>
      <c r="Q29" s="91"/>
      <c r="R29" s="91"/>
    </row>
    <row r="30" spans="1:18" ht="15.6" customHeight="1">
      <c r="K30" s="91"/>
      <c r="L30" s="91"/>
      <c r="M30" s="91"/>
      <c r="N30" s="91"/>
      <c r="O30" s="91"/>
      <c r="P30" s="91"/>
      <c r="Q30" s="91"/>
      <c r="R30" s="91"/>
    </row>
    <row r="31" spans="1:18" ht="20.55" customHeight="1">
      <c r="K31" s="91"/>
      <c r="L31" s="91"/>
      <c r="M31" s="91"/>
      <c r="N31" s="91"/>
      <c r="O31" s="91"/>
      <c r="P31" s="91"/>
      <c r="Q31" s="91"/>
      <c r="R31" s="91"/>
    </row>
    <row r="32" spans="1:18" ht="15.6" customHeight="1">
      <c r="K32" s="91"/>
      <c r="L32" s="91"/>
      <c r="M32" s="91"/>
      <c r="N32" s="91"/>
      <c r="O32" s="91"/>
      <c r="P32" s="91"/>
      <c r="Q32" s="91"/>
      <c r="R32" s="91"/>
    </row>
    <row r="33" ht="17.850000000000001" customHeight="1"/>
  </sheetData>
  <mergeCells count="10">
    <mergeCell ref="B8:I9"/>
    <mergeCell ref="B20:I20"/>
    <mergeCell ref="B21:I21"/>
    <mergeCell ref="B2:I2"/>
    <mergeCell ref="B4:C5"/>
    <mergeCell ref="D4:F5"/>
    <mergeCell ref="G4:I5"/>
    <mergeCell ref="B6:C6"/>
    <mergeCell ref="D6:F6"/>
    <mergeCell ref="G6:I6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C38A-5949-4797-98DB-7FCCC88F0EE2}">
  <dimension ref="A1:R54"/>
  <sheetViews>
    <sheetView workbookViewId="0">
      <selection activeCell="B21" sqref="B21:I21"/>
    </sheetView>
  </sheetViews>
  <sheetFormatPr defaultRowHeight="15.6"/>
  <cols>
    <col min="1" max="1" width="13.21875" style="1" customWidth="1"/>
    <col min="2" max="2" width="10.109375" style="1" customWidth="1"/>
    <col min="3" max="3" width="11.88671875" style="1" customWidth="1"/>
    <col min="4" max="4" width="11.44140625" style="1" customWidth="1"/>
    <col min="5" max="5" width="12.109375" style="1" customWidth="1"/>
    <col min="6" max="6" width="10.109375" style="1" customWidth="1"/>
    <col min="7" max="7" width="10.77734375" style="1" customWidth="1"/>
    <col min="8" max="8" width="10.5546875" style="1" customWidth="1"/>
    <col min="9" max="9" width="11.88671875" style="1" customWidth="1"/>
    <col min="10" max="10" width="11" style="1" customWidth="1"/>
    <col min="11" max="11" width="8.88671875" style="1"/>
    <col min="12" max="12" width="10.5546875" style="1" customWidth="1"/>
    <col min="13" max="13" width="13.77734375" style="1" customWidth="1"/>
    <col min="14" max="14" width="10.5546875" style="1" customWidth="1"/>
    <col min="15" max="15" width="17.109375" style="1" customWidth="1"/>
    <col min="16" max="16" width="7.77734375" style="1" customWidth="1"/>
    <col min="17" max="17" width="13.5546875" style="1" customWidth="1"/>
    <col min="18" max="18" width="9.88671875" style="1" customWidth="1"/>
    <col min="19" max="19" width="13.6640625" style="1" customWidth="1"/>
    <col min="20" max="20" width="14.6640625" style="1" customWidth="1"/>
    <col min="21" max="16384" width="8.88671875" style="1"/>
  </cols>
  <sheetData>
    <row r="1" spans="1:15" ht="16.2" thickTop="1">
      <c r="A1" s="16"/>
      <c r="B1" s="173" t="s">
        <v>53</v>
      </c>
      <c r="C1" s="174"/>
      <c r="D1" s="173" t="s">
        <v>54</v>
      </c>
      <c r="E1" s="174"/>
      <c r="F1" s="173" t="s">
        <v>55</v>
      </c>
      <c r="G1" s="174"/>
      <c r="H1" s="173" t="s">
        <v>56</v>
      </c>
      <c r="I1" s="174"/>
      <c r="J1" s="173" t="s">
        <v>57</v>
      </c>
      <c r="K1" s="174"/>
      <c r="L1" s="173" t="s">
        <v>58</v>
      </c>
      <c r="M1" s="174"/>
      <c r="N1" s="173" t="s">
        <v>59</v>
      </c>
      <c r="O1" s="174"/>
    </row>
    <row r="2" spans="1:15">
      <c r="A2" s="17"/>
      <c r="B2" s="3" t="str">
        <f>抽奖道具</f>
        <v>刮刮券</v>
      </c>
      <c r="C2" s="4" t="s">
        <v>26</v>
      </c>
      <c r="D2" s="3" t="str">
        <f>抽奖道具</f>
        <v>刮刮券</v>
      </c>
      <c r="E2" s="4" t="s">
        <v>26</v>
      </c>
      <c r="F2" s="3" t="str">
        <f>抽奖道具</f>
        <v>刮刮券</v>
      </c>
      <c r="G2" s="4" t="s">
        <v>26</v>
      </c>
      <c r="H2" s="3" t="str">
        <f>抽奖道具</f>
        <v>刮刮券</v>
      </c>
      <c r="I2" s="4" t="s">
        <v>26</v>
      </c>
      <c r="J2" s="3" t="str">
        <f>抽奖道具</f>
        <v>刮刮券</v>
      </c>
      <c r="K2" s="4" t="s">
        <v>26</v>
      </c>
      <c r="L2" s="3" t="str">
        <f>抽奖道具</f>
        <v>刮刮券</v>
      </c>
      <c r="M2" s="4" t="s">
        <v>26</v>
      </c>
      <c r="N2" s="3" t="str">
        <f>抽奖道具</f>
        <v>刮刮券</v>
      </c>
      <c r="O2" s="4" t="s">
        <v>26</v>
      </c>
    </row>
    <row r="3" spans="1:15">
      <c r="A3" s="17" t="s">
        <v>60</v>
      </c>
      <c r="B3" s="3">
        <v>5</v>
      </c>
      <c r="C3" s="4">
        <f>B3*积分规则1</f>
        <v>100</v>
      </c>
      <c r="D3" s="3"/>
      <c r="E3" s="4">
        <f>D3*积分规则1</f>
        <v>0</v>
      </c>
      <c r="F3" s="3"/>
      <c r="G3" s="4">
        <f>F3*积分规则1</f>
        <v>0</v>
      </c>
      <c r="H3" s="3"/>
      <c r="I3" s="4">
        <f>H3*积分规则1</f>
        <v>0</v>
      </c>
      <c r="J3" s="3"/>
      <c r="K3" s="4">
        <f>J3*积分规则1</f>
        <v>0</v>
      </c>
      <c r="L3" s="3"/>
      <c r="M3" s="4">
        <f>L3*积分规则1</f>
        <v>0</v>
      </c>
      <c r="N3" s="3"/>
      <c r="O3" s="4">
        <f>N3*积分规则1</f>
        <v>0</v>
      </c>
    </row>
    <row r="4" spans="1:15">
      <c r="A4" s="17" t="s">
        <v>61</v>
      </c>
      <c r="B4" s="3">
        <v>43</v>
      </c>
      <c r="C4" s="4">
        <f>B4*积分规则1</f>
        <v>860</v>
      </c>
      <c r="D4" s="3">
        <v>43</v>
      </c>
      <c r="E4" s="4">
        <f>D4*积分规则1</f>
        <v>860</v>
      </c>
      <c r="F4" s="3">
        <v>43</v>
      </c>
      <c r="G4" s="4">
        <f>F4*积分规则1</f>
        <v>860</v>
      </c>
      <c r="H4" s="3">
        <v>43</v>
      </c>
      <c r="I4" s="4">
        <f>H4*积分规则1</f>
        <v>860</v>
      </c>
      <c r="J4" s="3">
        <v>43</v>
      </c>
      <c r="K4" s="4">
        <f>J4*积分规则1</f>
        <v>860</v>
      </c>
      <c r="L4" s="3">
        <v>43</v>
      </c>
      <c r="M4" s="4">
        <f>L4*积分规则1</f>
        <v>860</v>
      </c>
      <c r="N4" s="3">
        <v>43</v>
      </c>
      <c r="O4" s="4">
        <f>N4*积分规则1</f>
        <v>860</v>
      </c>
    </row>
    <row r="5" spans="1:15">
      <c r="A5" s="18" t="s">
        <v>45</v>
      </c>
      <c r="B5" s="3">
        <v>100</v>
      </c>
      <c r="C5" s="4">
        <f>B5*积分规则1</f>
        <v>2000</v>
      </c>
      <c r="D5" s="3">
        <v>0</v>
      </c>
      <c r="E5" s="4">
        <f>D5*积分规则1</f>
        <v>0</v>
      </c>
      <c r="F5" s="3">
        <v>0</v>
      </c>
      <c r="G5" s="4">
        <f>F5*积分规则1</f>
        <v>0</v>
      </c>
      <c r="H5" s="3">
        <v>0</v>
      </c>
      <c r="I5" s="4">
        <f>H5*积分规则1</f>
        <v>0</v>
      </c>
      <c r="J5" s="3">
        <v>0</v>
      </c>
      <c r="K5" s="4">
        <f>J5*积分规则1</f>
        <v>0</v>
      </c>
      <c r="L5" s="3">
        <v>0</v>
      </c>
      <c r="M5" s="4">
        <f>L5*积分规则1</f>
        <v>0</v>
      </c>
      <c r="N5" s="3">
        <v>0</v>
      </c>
      <c r="O5" s="4">
        <f>N5*积分规则1</f>
        <v>0</v>
      </c>
    </row>
    <row r="6" spans="1:15">
      <c r="A6" s="27" t="s">
        <v>62</v>
      </c>
      <c r="B6" s="3">
        <v>0</v>
      </c>
      <c r="C6" s="4">
        <f>B6*积分规则2</f>
        <v>0</v>
      </c>
      <c r="D6" s="3">
        <v>0</v>
      </c>
      <c r="E6" s="4">
        <f>D6*积分规则2</f>
        <v>0</v>
      </c>
      <c r="F6" s="3">
        <v>0</v>
      </c>
      <c r="G6" s="4">
        <f>F6*积分规则2</f>
        <v>0</v>
      </c>
      <c r="H6" s="3">
        <v>0</v>
      </c>
      <c r="I6" s="4">
        <f>H6*积分规则2</f>
        <v>0</v>
      </c>
      <c r="J6" s="3">
        <v>0</v>
      </c>
      <c r="K6" s="4">
        <f>J6*积分规则2</f>
        <v>0</v>
      </c>
      <c r="L6" s="3">
        <v>0</v>
      </c>
      <c r="M6" s="4">
        <f>L6*积分规则2</f>
        <v>0</v>
      </c>
      <c r="N6" s="3">
        <v>100</v>
      </c>
      <c r="O6" s="4">
        <f>N6*积分规则2</f>
        <v>100</v>
      </c>
    </row>
    <row r="7" spans="1:15">
      <c r="A7" s="19" t="str">
        <f>"使用"&amp;抽奖道具</f>
        <v>使用刮刮券</v>
      </c>
      <c r="B7" s="3">
        <v>0</v>
      </c>
      <c r="C7" s="4">
        <f>B7*实测高级道具*积分规则2</f>
        <v>0</v>
      </c>
      <c r="D7" s="3">
        <v>0</v>
      </c>
      <c r="E7" s="4">
        <f>D7*实测高级道具*积分规则2</f>
        <v>0</v>
      </c>
      <c r="F7" s="3">
        <v>0</v>
      </c>
      <c r="G7" s="4">
        <f>F7*实测高级道具*积分规则2</f>
        <v>0</v>
      </c>
      <c r="H7" s="3">
        <v>0</v>
      </c>
      <c r="I7" s="4">
        <f>H7*实测高级道具*积分规则2</f>
        <v>0</v>
      </c>
      <c r="J7" s="3">
        <v>0</v>
      </c>
      <c r="K7" s="4">
        <f>J7*实测高级道具*积分规则2</f>
        <v>0</v>
      </c>
      <c r="L7" s="3">
        <v>0</v>
      </c>
      <c r="M7" s="4">
        <f>L7*实测高级道具*积分规则2</f>
        <v>0</v>
      </c>
      <c r="N7" s="3">
        <v>406</v>
      </c>
      <c r="O7" s="4">
        <f>N7*实测高级道具*积分规则2</f>
        <v>349.25227272727273</v>
      </c>
    </row>
    <row r="8" spans="1:15">
      <c r="A8" s="20" t="str">
        <f>"剩余"&amp;抽奖道具</f>
        <v>剩余刮刮券</v>
      </c>
      <c r="B8" s="3">
        <f>B12-B7</f>
        <v>148</v>
      </c>
      <c r="C8" s="4"/>
      <c r="D8" s="3">
        <f>B8+SUM(D3:D6)-D7</f>
        <v>191</v>
      </c>
      <c r="E8" s="4"/>
      <c r="F8" s="3">
        <f>D8+SUM(F3:F6)-F7</f>
        <v>234</v>
      </c>
      <c r="G8" s="4"/>
      <c r="H8" s="3">
        <f>F8+SUM(H3:H6)-H7</f>
        <v>277</v>
      </c>
      <c r="I8" s="4"/>
      <c r="J8" s="3">
        <f>H8+SUM(J3:J6)-J7</f>
        <v>320</v>
      </c>
      <c r="K8" s="4"/>
      <c r="L8" s="3">
        <f>J8+SUM(L3:L6)-L7</f>
        <v>363</v>
      </c>
      <c r="M8" s="4"/>
      <c r="N8" s="3">
        <f>L8+SUM(N3:N5)-N7</f>
        <v>0</v>
      </c>
      <c r="O8" s="4"/>
    </row>
    <row r="9" spans="1:15">
      <c r="A9" s="25" t="s">
        <v>63</v>
      </c>
      <c r="B9" s="3">
        <v>0</v>
      </c>
      <c r="C9" s="4">
        <f>B9*随机箱积分</f>
        <v>0</v>
      </c>
      <c r="D9" s="3">
        <v>0</v>
      </c>
      <c r="E9" s="4">
        <f>D9*随机箱积分</f>
        <v>0</v>
      </c>
      <c r="F9" s="3">
        <v>0</v>
      </c>
      <c r="G9" s="4">
        <f>F9*随机箱积分</f>
        <v>0</v>
      </c>
      <c r="H9" s="3">
        <v>0</v>
      </c>
      <c r="I9" s="4">
        <f>H9*随机箱积分</f>
        <v>0</v>
      </c>
      <c r="J9" s="3">
        <v>0</v>
      </c>
      <c r="K9" s="4">
        <f>J9*随机箱积分</f>
        <v>0</v>
      </c>
      <c r="L9" s="3">
        <v>0</v>
      </c>
      <c r="M9" s="4">
        <f>L9*随机箱积分</f>
        <v>0</v>
      </c>
      <c r="N9" s="3">
        <v>6</v>
      </c>
      <c r="O9" s="4">
        <f>N9*随机箱积分</f>
        <v>61.529999999999994</v>
      </c>
    </row>
    <row r="10" spans="1:15">
      <c r="A10" s="20" t="s">
        <v>64</v>
      </c>
      <c r="B10" s="3">
        <f>B13-SUM(B9)</f>
        <v>6</v>
      </c>
      <c r="C10" s="4"/>
      <c r="D10" s="3">
        <f>D13-SUM(B9,D9)</f>
        <v>6</v>
      </c>
      <c r="E10" s="4"/>
      <c r="F10" s="3">
        <f>F13-SUM(B9,D9,F9)</f>
        <v>6</v>
      </c>
      <c r="G10" s="4"/>
      <c r="H10" s="3">
        <f>H13-SUM(B9,D9,F9,H9)</f>
        <v>6</v>
      </c>
      <c r="I10" s="4"/>
      <c r="J10" s="3">
        <f>J13-SUM(B9,D9,F9,H9,J9)</f>
        <v>6</v>
      </c>
      <c r="K10" s="4"/>
      <c r="L10" s="3">
        <f>L13-SUM(B9,D9,F9,H9,J9,L9)</f>
        <v>6</v>
      </c>
      <c r="M10" s="4"/>
      <c r="N10" s="3">
        <f>N13-SUM(B9,D9,F9,H9,J9,L9,N9)</f>
        <v>0</v>
      </c>
      <c r="O10" s="4"/>
    </row>
    <row r="11" spans="1:15">
      <c r="A11" s="21" t="s">
        <v>65</v>
      </c>
      <c r="B11" s="8" t="str">
        <f>IFERROR(LOOKUP(C11,档位积分1:档位积分5,第1档:第5档),"无奖励")</f>
        <v>第2档</v>
      </c>
      <c r="C11" s="9">
        <f>SUM(C3:C7)+C9</f>
        <v>2960</v>
      </c>
      <c r="D11" s="8" t="str">
        <f>IFERROR(LOOKUP(E11,档位积分1:档位积分5,第1档:第5档),"无奖励")</f>
        <v>第1档</v>
      </c>
      <c r="E11" s="9">
        <f>SUM(E3:E7)+E9</f>
        <v>860</v>
      </c>
      <c r="F11" s="8" t="str">
        <f>IFERROR(LOOKUP(G11,档位积分1:档位积分5,第1档:第5档),"无奖励")</f>
        <v>第1档</v>
      </c>
      <c r="G11" s="9">
        <f>SUM(G3:G7)+G9</f>
        <v>860</v>
      </c>
      <c r="H11" s="8" t="str">
        <f>IFERROR(LOOKUP(I11,档位积分1:档位积分5,第1档:第5档),"无奖励")</f>
        <v>第1档</v>
      </c>
      <c r="I11" s="9">
        <f>SUM(I3:I7)+I9</f>
        <v>860</v>
      </c>
      <c r="J11" s="8" t="str">
        <f>IFERROR(LOOKUP(K11,档位积分1:档位积分5,第1档:第5档),"无奖励")</f>
        <v>第1档</v>
      </c>
      <c r="K11" s="9">
        <f>SUM(K3:K7)+K9</f>
        <v>860</v>
      </c>
      <c r="L11" s="8" t="str">
        <f>IFERROR(LOOKUP(M11,档位积分1:档位积分5,第1档:第5档),"无奖励")</f>
        <v>第1档</v>
      </c>
      <c r="M11" s="9">
        <f>SUM(M3:M7)+M9</f>
        <v>860</v>
      </c>
      <c r="N11" s="8" t="str">
        <f>IFERROR(LOOKUP(O11,档位积分1:档位积分5,第1档:第5档),"无奖励")</f>
        <v>第1档</v>
      </c>
      <c r="O11" s="9">
        <f>SUM(O3:O7)+O9</f>
        <v>1370.7822727272726</v>
      </c>
    </row>
    <row r="12" spans="1:15">
      <c r="A12" s="17" t="str">
        <f>"累积"&amp;抽奖道具</f>
        <v>累积刮刮券</v>
      </c>
      <c r="B12" s="3">
        <f>SUM(B3:B6)</f>
        <v>148</v>
      </c>
      <c r="C12" s="4">
        <f>B7*实测高级道具*积分规则2</f>
        <v>0</v>
      </c>
      <c r="D12" s="3">
        <f>B12+SUM(D3:D6)</f>
        <v>191</v>
      </c>
      <c r="E12" s="4">
        <f>D12*$R$27</f>
        <v>0</v>
      </c>
      <c r="F12" s="3">
        <f>D12+SUM(F3:F6)</f>
        <v>234</v>
      </c>
      <c r="G12" s="4">
        <f>F12*$R$27</f>
        <v>0</v>
      </c>
      <c r="H12" s="3">
        <f>F12+SUM(H3:H6)</f>
        <v>277</v>
      </c>
      <c r="I12" s="4">
        <f>H12*$R$27</f>
        <v>0</v>
      </c>
      <c r="J12" s="3">
        <f>H12+SUM(J3:J6)</f>
        <v>320</v>
      </c>
      <c r="K12" s="4">
        <f>J12*$R$27</f>
        <v>0</v>
      </c>
      <c r="L12" s="3">
        <f>J12+SUM(L3:L6)</f>
        <v>363</v>
      </c>
      <c r="M12" s="4">
        <f>L12*$R$27</f>
        <v>0</v>
      </c>
      <c r="N12" s="3">
        <f>L12+SUM(N3:N6)</f>
        <v>506</v>
      </c>
      <c r="O12" s="4">
        <f>N12*$R$27</f>
        <v>0</v>
      </c>
    </row>
    <row r="13" spans="1:15">
      <c r="A13" s="17" t="s">
        <v>36</v>
      </c>
      <c r="B13" s="3">
        <f>IFERROR(LOOKUP(C11,档位积分1:档位积分5,档位奖励1:档位奖励5),0)</f>
        <v>6</v>
      </c>
      <c r="C13" s="4">
        <f>B13*随机箱积分</f>
        <v>61.529999999999994</v>
      </c>
      <c r="D13" s="3">
        <f>IFERROR(LOOKUP(E11,档位积分1:档位积分5,档位奖励1:档位奖励5),0)+B13</f>
        <v>6</v>
      </c>
      <c r="E13" s="4">
        <f>D13*随机箱积分</f>
        <v>61.529999999999994</v>
      </c>
      <c r="F13" s="3">
        <f>IFERROR(LOOKUP(G11,档位积分1:档位积分5,档位奖励1:档位奖励5),0)+D13</f>
        <v>6</v>
      </c>
      <c r="G13" s="4">
        <f>F13*随机箱积分</f>
        <v>61.529999999999994</v>
      </c>
      <c r="H13" s="3">
        <f>IFERROR(LOOKUP(I11,档位积分1:档位积分5,档位奖励1:档位奖励5),0)+F13</f>
        <v>6</v>
      </c>
      <c r="I13" s="4">
        <f>H13*随机箱积分</f>
        <v>61.529999999999994</v>
      </c>
      <c r="J13" s="3">
        <f>IFERROR(LOOKUP(K11,档位积分1:档位积分5,档位奖励1:档位奖励5),0)+H13</f>
        <v>6</v>
      </c>
      <c r="K13" s="4">
        <f>J13*随机箱积分</f>
        <v>61.529999999999994</v>
      </c>
      <c r="L13" s="3">
        <f>IFERROR(LOOKUP(M11,档位积分1:档位积分5,档位奖励1:档位奖励5),0)+J13</f>
        <v>6</v>
      </c>
      <c r="M13" s="4">
        <f>L13*随机箱积分</f>
        <v>61.529999999999994</v>
      </c>
      <c r="N13" s="3">
        <f>IFERROR(LOOKUP(O11,档位积分1:档位积分5,档位奖励1:档位奖励5),0)+L13</f>
        <v>6</v>
      </c>
      <c r="O13" s="4">
        <f>N13*随机箱积分</f>
        <v>61.529999999999994</v>
      </c>
    </row>
    <row r="14" spans="1:15">
      <c r="A14" s="17" t="str">
        <f>普通兑换道具</f>
        <v>香草冰淇淋</v>
      </c>
      <c r="B14" s="22">
        <f>B7*实测普通道具</f>
        <v>0</v>
      </c>
      <c r="C14" s="4"/>
      <c r="D14" s="22">
        <f>D7*实测普通道具+B14</f>
        <v>0</v>
      </c>
      <c r="E14" s="4"/>
      <c r="F14" s="22">
        <f>F7*实测普通道具+D14</f>
        <v>0</v>
      </c>
      <c r="G14" s="23"/>
      <c r="H14" s="22">
        <f>H7*实测普通道具+F14</f>
        <v>0</v>
      </c>
      <c r="I14" s="23"/>
      <c r="J14" s="22">
        <f>J7*实测普通道具+H14</f>
        <v>0</v>
      </c>
      <c r="K14" s="23"/>
      <c r="L14" s="22">
        <f>L7*实测普通道具+J14</f>
        <v>0</v>
      </c>
      <c r="M14" s="23"/>
      <c r="N14" s="22">
        <f>ROUNDDOWN(N7*实测普通道具+L14-2900,0)</f>
        <v>19273</v>
      </c>
      <c r="O14" s="4"/>
    </row>
    <row r="15" spans="1:15" ht="16.2" thickBot="1">
      <c r="A15" s="17" t="str">
        <f>高级兑换道具</f>
        <v>梦幻冰淇淋</v>
      </c>
      <c r="B15" s="22">
        <f>B7*实测高级道具+B9*随机箱高级道具</f>
        <v>0</v>
      </c>
      <c r="C15" s="4"/>
      <c r="D15" s="22">
        <f>D7*实测高级道具+D9*随机箱高级道具+B15</f>
        <v>0</v>
      </c>
      <c r="E15" s="23"/>
      <c r="F15" s="22">
        <f>F7*实测高级道具+F9*随机箱高级道具+D15</f>
        <v>0</v>
      </c>
      <c r="G15" s="23"/>
      <c r="H15" s="22">
        <f>H7*实测高级道具+H9*随机箱高级道具+F15</f>
        <v>0</v>
      </c>
      <c r="I15" s="23"/>
      <c r="J15" s="22">
        <f>J7*实测高级道具+J9*随机箱高级道具+H15</f>
        <v>0</v>
      </c>
      <c r="K15" s="23"/>
      <c r="L15" s="22">
        <f>L7*实测高级道具+L9*随机箱高级道具+J15</f>
        <v>0</v>
      </c>
      <c r="M15" s="23"/>
      <c r="N15" s="22">
        <f>ROUNDDOWN(N7*实测高级道具+N9*随机箱高级道具+L15+N6,0)</f>
        <v>510</v>
      </c>
      <c r="O15" s="4"/>
    </row>
    <row r="16" spans="1:15" ht="16.8" thickTop="1" thickBot="1">
      <c r="A16" s="24" t="s">
        <v>66</v>
      </c>
      <c r="B16" s="181" t="str">
        <f>B11</f>
        <v>第2档</v>
      </c>
      <c r="C16" s="182"/>
      <c r="D16" s="181" t="str">
        <f>D11</f>
        <v>第1档</v>
      </c>
      <c r="E16" s="182"/>
      <c r="F16" s="181" t="str">
        <f>F11</f>
        <v>第1档</v>
      </c>
      <c r="G16" s="182"/>
      <c r="H16" s="181" t="str">
        <f>H11</f>
        <v>第1档</v>
      </c>
      <c r="I16" s="182"/>
      <c r="J16" s="181" t="str">
        <f>J11</f>
        <v>第1档</v>
      </c>
      <c r="K16" s="182"/>
      <c r="L16" s="181" t="str">
        <f>L11</f>
        <v>第1档</v>
      </c>
      <c r="M16" s="182"/>
      <c r="N16" s="181" t="str">
        <f>N11</f>
        <v>第1档</v>
      </c>
      <c r="O16" s="182"/>
    </row>
    <row r="17" spans="1:18" ht="28.2" thickTop="1">
      <c r="A17" s="166" t="s">
        <v>67</v>
      </c>
      <c r="B17" s="183">
        <f>SUM(B5,D5,F5,H5,J5,L5,N5)*钻石购买</f>
        <v>15000</v>
      </c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5"/>
    </row>
    <row r="18" spans="1:18" ht="38.4" customHeight="1" thickBot="1">
      <c r="A18" s="167"/>
      <c r="B18" s="186" t="str">
        <f>"最终收益："&amp;ROUNDDOWN(N15,0)&amp;A15&amp;"+"&amp;ROUNDDOWN(N14,0)&amp;A14</f>
        <v>最终收益：510梦幻冰淇淋+19273香草冰淇淋</v>
      </c>
      <c r="C18" s="187"/>
      <c r="D18" s="187"/>
      <c r="E18" s="187"/>
      <c r="F18" s="187"/>
      <c r="G18" s="187"/>
      <c r="H18" s="187"/>
      <c r="I18" s="187"/>
      <c r="J18" s="187" t="s">
        <v>87</v>
      </c>
      <c r="K18" s="187"/>
      <c r="L18" s="187"/>
      <c r="M18" s="187"/>
      <c r="N18" s="187"/>
      <c r="O18" s="188"/>
    </row>
    <row r="19" spans="1:18" ht="17.7" customHeight="1" thickTop="1">
      <c r="A19" s="37"/>
      <c r="B19" s="37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8" ht="17.7" customHeight="1">
      <c r="A20" s="37"/>
      <c r="B20" s="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8" ht="17.7" customHeight="1">
      <c r="A21" s="37"/>
      <c r="B21" s="92"/>
      <c r="C21" s="93"/>
      <c r="D21" s="93"/>
      <c r="E21" s="93"/>
      <c r="F21" s="93"/>
      <c r="G21" s="93"/>
      <c r="H21" s="93"/>
      <c r="I21" s="93"/>
      <c r="J21" s="12"/>
      <c r="K21" s="12"/>
      <c r="L21" s="12"/>
      <c r="M21" s="12"/>
      <c r="N21" s="12"/>
      <c r="O21" s="12"/>
    </row>
    <row r="22" spans="1:18" ht="17.7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8">
      <c r="E23" s="176"/>
      <c r="F23" s="176"/>
      <c r="G23" s="176"/>
      <c r="H23" s="176"/>
      <c r="J23" s="160"/>
      <c r="K23" s="160"/>
      <c r="L23" s="160"/>
      <c r="M23" s="160"/>
      <c r="O23" s="160"/>
      <c r="P23" s="160"/>
      <c r="Q23" s="160"/>
      <c r="R23" s="160"/>
    </row>
    <row r="24" spans="1:18">
      <c r="J24" s="6"/>
      <c r="K24" s="6"/>
      <c r="L24" s="6"/>
      <c r="M24" s="6"/>
      <c r="O24" s="6"/>
      <c r="Q24" s="6"/>
      <c r="R24" s="6"/>
    </row>
    <row r="25" spans="1:18">
      <c r="F25" s="2"/>
      <c r="J25" s="6"/>
      <c r="K25" s="6"/>
      <c r="L25" s="39"/>
      <c r="M25" s="6"/>
      <c r="O25" s="6"/>
      <c r="Q25" s="39"/>
      <c r="R25" s="6"/>
    </row>
    <row r="26" spans="1:18">
      <c r="F26" s="28"/>
      <c r="J26" s="6"/>
      <c r="K26" s="6"/>
      <c r="L26" s="40"/>
      <c r="M26" s="6"/>
      <c r="O26" s="6"/>
      <c r="Q26" s="40"/>
      <c r="R26" s="6"/>
    </row>
    <row r="27" spans="1:18">
      <c r="F27" s="29"/>
      <c r="J27" s="6"/>
      <c r="K27" s="6"/>
      <c r="L27" s="6"/>
      <c r="M27" s="41"/>
      <c r="O27" s="35"/>
      <c r="Q27" s="35"/>
      <c r="R27" s="42"/>
    </row>
    <row r="28" spans="1:18">
      <c r="F28" s="38"/>
      <c r="G28" s="38"/>
      <c r="H28" s="38"/>
      <c r="J28" s="6"/>
      <c r="L28" s="40"/>
      <c r="M28" s="6"/>
      <c r="N28" s="43"/>
      <c r="O28" s="6"/>
    </row>
    <row r="29" spans="1:18">
      <c r="E29" s="6"/>
      <c r="F29" s="43"/>
      <c r="G29" s="6"/>
      <c r="J29" s="6"/>
      <c r="L29" s="40"/>
      <c r="M29" s="6"/>
      <c r="N29" s="6"/>
      <c r="O29" s="41"/>
    </row>
    <row r="30" spans="1:18">
      <c r="A30" s="175"/>
      <c r="B30" s="175"/>
      <c r="C30" s="175"/>
      <c r="J30" s="160"/>
      <c r="K30" s="160"/>
      <c r="L30" s="160"/>
      <c r="M30" s="160"/>
    </row>
    <row r="31" spans="1:18">
      <c r="J31" s="6"/>
      <c r="L31" s="6"/>
      <c r="M31" s="6"/>
      <c r="O31" s="35"/>
    </row>
    <row r="32" spans="1:18">
      <c r="J32" s="6"/>
      <c r="L32" s="6"/>
      <c r="M32" s="44"/>
      <c r="O32" s="35"/>
    </row>
    <row r="33" spans="1:15">
      <c r="J33" s="6"/>
      <c r="L33" s="6"/>
      <c r="M33" s="44"/>
      <c r="O33" s="35"/>
    </row>
    <row r="34" spans="1:15">
      <c r="A34" s="175"/>
      <c r="B34" s="175"/>
      <c r="C34" s="175"/>
      <c r="J34" s="6"/>
      <c r="L34" s="6"/>
      <c r="M34" s="44"/>
      <c r="O34" s="35"/>
    </row>
    <row r="35" spans="1:15">
      <c r="J35" s="6"/>
      <c r="L35" s="6"/>
      <c r="M35" s="6"/>
      <c r="O35" s="35"/>
    </row>
    <row r="36" spans="1:15">
      <c r="J36" s="6"/>
      <c r="L36" s="6"/>
      <c r="M36" s="6"/>
      <c r="O36" s="35"/>
    </row>
    <row r="37" spans="1:15">
      <c r="J37" s="6"/>
      <c r="L37" s="6"/>
      <c r="M37" s="6"/>
      <c r="O37" s="35"/>
    </row>
    <row r="38" spans="1:15">
      <c r="J38" s="6"/>
      <c r="L38" s="40"/>
      <c r="M38" s="6"/>
      <c r="O38" s="35"/>
    </row>
    <row r="39" spans="1:15">
      <c r="O39" s="35"/>
    </row>
    <row r="40" spans="1:15">
      <c r="O40" s="35"/>
    </row>
    <row r="41" spans="1:15">
      <c r="O41" s="35"/>
    </row>
    <row r="42" spans="1:15">
      <c r="O42" s="35"/>
    </row>
    <row r="43" spans="1:15">
      <c r="O43" s="35"/>
    </row>
    <row r="44" spans="1:15">
      <c r="O44" s="35"/>
    </row>
    <row r="45" spans="1:15">
      <c r="C45" s="2"/>
      <c r="O45" s="35"/>
    </row>
    <row r="46" spans="1:15">
      <c r="O46" s="35"/>
    </row>
    <row r="47" spans="1:15">
      <c r="O47" s="35"/>
    </row>
    <row r="48" spans="1:15">
      <c r="O48" s="35"/>
    </row>
    <row r="49" spans="15:15">
      <c r="O49" s="35"/>
    </row>
    <row r="50" spans="15:15">
      <c r="O50" s="35"/>
    </row>
    <row r="51" spans="15:15">
      <c r="O51" s="35"/>
    </row>
    <row r="52" spans="15:15">
      <c r="O52" s="35"/>
    </row>
    <row r="53" spans="15:15">
      <c r="O53" s="35"/>
    </row>
    <row r="54" spans="15:15">
      <c r="O54" s="35"/>
    </row>
  </sheetData>
  <mergeCells count="24">
    <mergeCell ref="A30:C30"/>
    <mergeCell ref="J30:M30"/>
    <mergeCell ref="A34:C34"/>
    <mergeCell ref="A17:A18"/>
    <mergeCell ref="B17:O17"/>
    <mergeCell ref="B18:I18"/>
    <mergeCell ref="J18:O18"/>
    <mergeCell ref="E23:H23"/>
    <mergeCell ref="J23:M23"/>
    <mergeCell ref="O23:R23"/>
    <mergeCell ref="N1:O1"/>
    <mergeCell ref="B16:C16"/>
    <mergeCell ref="D16:E16"/>
    <mergeCell ref="F16:G16"/>
    <mergeCell ref="H16:I16"/>
    <mergeCell ref="J16:K16"/>
    <mergeCell ref="L16:M16"/>
    <mergeCell ref="N16:O16"/>
    <mergeCell ref="B1:C1"/>
    <mergeCell ref="D1:E1"/>
    <mergeCell ref="F1:G1"/>
    <mergeCell ref="H1:I1"/>
    <mergeCell ref="J1:K1"/>
    <mergeCell ref="L1:M1"/>
  </mergeCells>
  <phoneticPr fontId="24" type="noConversion"/>
  <conditionalFormatting sqref="B5:O5">
    <cfRule type="cellIs" dxfId="7" priority="1" operator="greaterThan">
      <formula>0</formula>
    </cfRule>
  </conditionalFormatting>
  <conditionalFormatting sqref="B6:O6">
    <cfRule type="cellIs" dxfId="6" priority="3" operator="greaterThan">
      <formula>0</formula>
    </cfRule>
  </conditionalFormatting>
  <conditionalFormatting sqref="B7:O7">
    <cfRule type="cellIs" dxfId="5" priority="4" operator="greaterThan">
      <formula>0</formula>
    </cfRule>
  </conditionalFormatting>
  <conditionalFormatting sqref="B9:O9"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617E-11E5-46A7-AD29-3D1C007C9ED4}">
  <dimension ref="A1:U33"/>
  <sheetViews>
    <sheetView workbookViewId="0">
      <selection activeCell="B21" sqref="B21:I21"/>
    </sheetView>
  </sheetViews>
  <sheetFormatPr defaultRowHeight="15.6"/>
  <cols>
    <col min="1" max="1" width="4.44140625" style="61" customWidth="1"/>
    <col min="2" max="2" width="8.88671875" style="61" customWidth="1"/>
    <col min="3" max="3" width="53.109375" style="61" customWidth="1"/>
    <col min="4" max="4" width="9.109375" style="61" bestFit="1" customWidth="1"/>
    <col min="5" max="7" width="11.109375" style="61" bestFit="1" customWidth="1"/>
    <col min="8" max="9" width="15.77734375" style="61" customWidth="1"/>
    <col min="10" max="16384" width="8.88671875" style="61"/>
  </cols>
  <sheetData>
    <row r="1" spans="2:21" ht="16.2" thickBot="1"/>
    <row r="2" spans="2:21" ht="24" customHeight="1" thickTop="1" thickBot="1">
      <c r="B2" s="189" t="s">
        <v>85</v>
      </c>
      <c r="C2" s="190"/>
      <c r="D2" s="190"/>
      <c r="E2" s="190"/>
      <c r="F2" s="190"/>
      <c r="G2" s="190"/>
      <c r="H2" s="190"/>
      <c r="I2" s="191"/>
      <c r="K2" s="91"/>
      <c r="L2" s="91"/>
      <c r="M2" s="91"/>
      <c r="N2" s="91"/>
      <c r="O2" s="91"/>
      <c r="P2" s="91"/>
      <c r="Q2" s="91"/>
      <c r="R2" s="91"/>
    </row>
    <row r="3" spans="2:21" ht="16.8" customHeight="1" thickTop="1" thickBot="1">
      <c r="B3" s="79"/>
      <c r="C3" s="80"/>
      <c r="D3" s="80"/>
      <c r="E3" s="80"/>
      <c r="F3" s="80"/>
      <c r="G3" s="80"/>
      <c r="H3" s="80"/>
      <c r="I3" s="81"/>
      <c r="K3" s="91"/>
      <c r="L3" s="91"/>
      <c r="M3" s="91"/>
      <c r="N3" s="91"/>
      <c r="O3" s="91"/>
      <c r="P3" s="91"/>
      <c r="Q3" s="91"/>
      <c r="R3" s="91"/>
    </row>
    <row r="4" spans="2:21" ht="17.55" customHeight="1" thickTop="1">
      <c r="B4" s="141" t="s">
        <v>81</v>
      </c>
      <c r="C4" s="142"/>
      <c r="D4" s="141" t="str">
        <f>"期望"&amp;普通兑换道具</f>
        <v>期望香草冰淇淋</v>
      </c>
      <c r="E4" s="145"/>
      <c r="F4" s="142"/>
      <c r="G4" s="145" t="str">
        <f>"期望"&amp;高级兑换道具</f>
        <v>期望梦幻冰淇淋</v>
      </c>
      <c r="H4" s="145"/>
      <c r="I4" s="142"/>
      <c r="K4" s="91"/>
      <c r="L4" s="91"/>
      <c r="M4" s="91"/>
      <c r="N4" s="91"/>
      <c r="O4" s="91"/>
      <c r="P4" s="91"/>
      <c r="Q4" s="91"/>
      <c r="R4" s="91"/>
    </row>
    <row r="5" spans="2:21" ht="17.55" customHeight="1">
      <c r="B5" s="143"/>
      <c r="C5" s="144"/>
      <c r="D5" s="143"/>
      <c r="E5" s="146"/>
      <c r="F5" s="144"/>
      <c r="G5" s="146"/>
      <c r="H5" s="146"/>
      <c r="I5" s="144"/>
      <c r="K5" s="91"/>
      <c r="L5" s="91"/>
      <c r="M5" s="91"/>
      <c r="N5" s="91"/>
      <c r="O5" s="91"/>
      <c r="P5" s="91"/>
      <c r="Q5" s="91"/>
      <c r="R5" s="91"/>
      <c r="T5" s="89"/>
      <c r="U5" s="89"/>
    </row>
    <row r="6" spans="2:21" ht="20.85" customHeight="1" thickBot="1">
      <c r="B6" s="139">
        <f>夏日派对1.5w!B17</f>
        <v>15000</v>
      </c>
      <c r="C6" s="140"/>
      <c r="D6" s="149">
        <f>夏日派对1.5w!N14</f>
        <v>19273</v>
      </c>
      <c r="E6" s="150"/>
      <c r="F6" s="151"/>
      <c r="G6" s="147">
        <f>夏日派对1.5w!N15</f>
        <v>510</v>
      </c>
      <c r="H6" s="147"/>
      <c r="I6" s="148"/>
      <c r="K6" s="91"/>
      <c r="L6" s="91"/>
      <c r="M6" s="91"/>
      <c r="N6" s="91"/>
      <c r="O6" s="91"/>
      <c r="P6" s="91"/>
      <c r="Q6" s="91"/>
      <c r="R6" s="91"/>
      <c r="T6" s="89"/>
      <c r="U6" s="89"/>
    </row>
    <row r="7" spans="2:21" ht="13.35" customHeight="1" thickTop="1" thickBot="1">
      <c r="B7" s="82"/>
      <c r="C7" s="83"/>
      <c r="D7" s="84"/>
      <c r="E7" s="84"/>
      <c r="F7" s="85"/>
      <c r="G7" s="85"/>
      <c r="H7" s="86"/>
      <c r="I7" s="87"/>
      <c r="K7" s="91"/>
      <c r="L7" s="91"/>
      <c r="M7" s="91"/>
      <c r="N7" s="91"/>
      <c r="O7" s="91"/>
      <c r="P7" s="91"/>
      <c r="Q7" s="91"/>
      <c r="R7" s="91"/>
      <c r="T7" s="90"/>
      <c r="U7" s="90"/>
    </row>
    <row r="8" spans="2:21" ht="17.55" customHeight="1" thickTop="1">
      <c r="B8" s="130" t="s">
        <v>86</v>
      </c>
      <c r="C8" s="131"/>
      <c r="D8" s="131"/>
      <c r="E8" s="131"/>
      <c r="F8" s="131"/>
      <c r="G8" s="131"/>
      <c r="H8" s="131"/>
      <c r="I8" s="132"/>
      <c r="K8" s="91"/>
      <c r="L8" s="91"/>
      <c r="M8" s="91"/>
      <c r="N8" s="91"/>
      <c r="O8" s="91"/>
      <c r="P8" s="91"/>
      <c r="Q8" s="91"/>
      <c r="R8" s="91"/>
    </row>
    <row r="9" spans="2:21" ht="17.55" customHeight="1" thickBot="1">
      <c r="B9" s="133"/>
      <c r="C9" s="134"/>
      <c r="D9" s="134"/>
      <c r="E9" s="134"/>
      <c r="F9" s="134"/>
      <c r="G9" s="134"/>
      <c r="H9" s="134"/>
      <c r="I9" s="135"/>
      <c r="K9" s="91"/>
      <c r="L9" s="91"/>
      <c r="M9" s="91"/>
      <c r="N9" s="91"/>
      <c r="O9" s="91"/>
      <c r="P9" s="91"/>
      <c r="Q9" s="91"/>
      <c r="R9" s="91"/>
    </row>
    <row r="10" spans="2:21" ht="16.8" customHeight="1" thickTop="1" thickBot="1">
      <c r="B10" s="79"/>
      <c r="C10" s="80"/>
      <c r="D10" s="80"/>
      <c r="E10" s="80"/>
      <c r="F10" s="80"/>
      <c r="G10" s="80"/>
      <c r="H10" s="80"/>
      <c r="I10" s="81"/>
      <c r="K10" s="91"/>
      <c r="L10" s="91"/>
      <c r="M10" s="91"/>
      <c r="N10" s="91"/>
      <c r="O10" s="91"/>
      <c r="P10" s="91"/>
      <c r="Q10" s="91"/>
      <c r="R10" s="91"/>
    </row>
    <row r="11" spans="2:21" ht="19.2" customHeight="1" thickTop="1">
      <c r="B11" s="73" t="s">
        <v>68</v>
      </c>
      <c r="C11" s="74" t="s">
        <v>78</v>
      </c>
      <c r="D11" s="74" t="str">
        <f>夏日派对1.5w!A16</f>
        <v>目标档位</v>
      </c>
      <c r="E11" s="74" t="str">
        <f>夏日派对1.5w!A7</f>
        <v>使用刮刮券</v>
      </c>
      <c r="F11" s="74" t="str">
        <f>夏日派对1.5w!A8</f>
        <v>剩余刮刮券</v>
      </c>
      <c r="G11" s="74" t="str">
        <f>夏日派对1.5w!A10</f>
        <v>剩余随机箱</v>
      </c>
      <c r="H11" s="74" t="str">
        <f>"期望"&amp;普通兑换道具</f>
        <v>期望香草冰淇淋</v>
      </c>
      <c r="I11" s="75" t="str">
        <f>"期望"&amp;高级兑换道具</f>
        <v>期望梦幻冰淇淋</v>
      </c>
      <c r="K11" s="91"/>
      <c r="L11" s="91"/>
      <c r="M11" s="91"/>
      <c r="N11" s="91"/>
      <c r="O11" s="91"/>
      <c r="P11" s="91"/>
      <c r="Q11" s="91"/>
      <c r="R11" s="91"/>
    </row>
    <row r="12" spans="2:21" ht="24" customHeight="1">
      <c r="B12" s="71" t="s">
        <v>69</v>
      </c>
      <c r="C12" s="67" t="s">
        <v>108</v>
      </c>
      <c r="D12" s="67" t="str">
        <f>夏日派对1.5w!B16</f>
        <v>第2档</v>
      </c>
      <c r="E12" s="67">
        <f>夏日派对1.5w!B7</f>
        <v>0</v>
      </c>
      <c r="F12" s="67">
        <f>夏日派对1.5w!B8</f>
        <v>148</v>
      </c>
      <c r="G12" s="67">
        <f>夏日派对1.5w!B10</f>
        <v>6</v>
      </c>
      <c r="H12" s="68">
        <f>夏日派对1.5w!B15</f>
        <v>0</v>
      </c>
      <c r="I12" s="72">
        <f>夏日派对1.5w!B14</f>
        <v>0</v>
      </c>
      <c r="K12" s="91"/>
      <c r="L12" s="91"/>
      <c r="M12" s="91"/>
      <c r="N12" s="91"/>
      <c r="O12" s="91"/>
      <c r="P12" s="91"/>
      <c r="Q12" s="91"/>
      <c r="R12" s="91"/>
    </row>
    <row r="13" spans="2:21" ht="24" customHeight="1">
      <c r="B13" s="69" t="s">
        <v>70</v>
      </c>
      <c r="C13" s="65" t="s">
        <v>106</v>
      </c>
      <c r="D13" s="65" t="str">
        <f>夏日派对1.5w!D16</f>
        <v>第1档</v>
      </c>
      <c r="E13" s="65">
        <f>夏日派对1.5w!D7</f>
        <v>0</v>
      </c>
      <c r="F13" s="65">
        <f>夏日派对1.5w!D8</f>
        <v>191</v>
      </c>
      <c r="G13" s="65">
        <f>夏日派对1.5w!D10</f>
        <v>6</v>
      </c>
      <c r="H13" s="66">
        <f>夏日派对1.5w!D14</f>
        <v>0</v>
      </c>
      <c r="I13" s="70">
        <f>夏日派对1.5w!D15</f>
        <v>0</v>
      </c>
      <c r="K13" s="91"/>
      <c r="L13" s="91"/>
      <c r="M13" s="91"/>
      <c r="N13" s="91"/>
      <c r="O13" s="91"/>
      <c r="P13" s="91"/>
      <c r="Q13" s="91"/>
      <c r="R13" s="91"/>
    </row>
    <row r="14" spans="2:21" ht="24" customHeight="1">
      <c r="B14" s="69" t="s">
        <v>71</v>
      </c>
      <c r="C14" s="65" t="s">
        <v>106</v>
      </c>
      <c r="D14" s="65" t="str">
        <f>夏日派对1.5w!F16</f>
        <v>第1档</v>
      </c>
      <c r="E14" s="66">
        <f>夏日派对1.5w!F7</f>
        <v>0</v>
      </c>
      <c r="F14" s="66">
        <f>夏日派对1.5w!F8</f>
        <v>234</v>
      </c>
      <c r="G14" s="66">
        <f>夏日派对1.5w!F10</f>
        <v>6</v>
      </c>
      <c r="H14" s="66">
        <f>夏日派对1.5w!F14</f>
        <v>0</v>
      </c>
      <c r="I14" s="70">
        <f>夏日派对1.5w!F15</f>
        <v>0</v>
      </c>
      <c r="K14" s="91"/>
      <c r="L14" s="91"/>
      <c r="M14" s="91"/>
      <c r="N14" s="91"/>
      <c r="O14" s="91"/>
      <c r="P14" s="91"/>
      <c r="Q14" s="91"/>
      <c r="R14" s="91"/>
    </row>
    <row r="15" spans="2:21" ht="24" customHeight="1">
      <c r="B15" s="69" t="s">
        <v>72</v>
      </c>
      <c r="C15" s="65" t="s">
        <v>106</v>
      </c>
      <c r="D15" s="65" t="str">
        <f>夏日派对1.5w!H16</f>
        <v>第1档</v>
      </c>
      <c r="E15" s="66">
        <f>夏日派对1.5w!H7</f>
        <v>0</v>
      </c>
      <c r="F15" s="66">
        <f>夏日派对1.5w!H8</f>
        <v>277</v>
      </c>
      <c r="G15" s="66">
        <f>夏日派对1.5w!H10</f>
        <v>6</v>
      </c>
      <c r="H15" s="66">
        <f>夏日派对1.5w!H14</f>
        <v>0</v>
      </c>
      <c r="I15" s="70">
        <f>夏日派对1.5w!H15</f>
        <v>0</v>
      </c>
      <c r="K15" s="91"/>
      <c r="L15" s="91"/>
      <c r="M15" s="91"/>
      <c r="N15" s="91"/>
      <c r="O15" s="91"/>
      <c r="P15" s="91"/>
      <c r="Q15" s="91"/>
      <c r="R15" s="91"/>
    </row>
    <row r="16" spans="2:21" ht="24" customHeight="1">
      <c r="B16" s="69" t="s">
        <v>73</v>
      </c>
      <c r="C16" s="65" t="s">
        <v>106</v>
      </c>
      <c r="D16" s="65" t="str">
        <f>夏日派对1.5w!J16</f>
        <v>第1档</v>
      </c>
      <c r="E16" s="65">
        <f>夏日派对1.5w!J7</f>
        <v>0</v>
      </c>
      <c r="F16" s="65">
        <f>夏日派对1.5w!J8</f>
        <v>320</v>
      </c>
      <c r="G16" s="65">
        <f>夏日派对1.5w!J10</f>
        <v>6</v>
      </c>
      <c r="H16" s="66">
        <f>夏日派对1.5w!J14</f>
        <v>0</v>
      </c>
      <c r="I16" s="70">
        <f>夏日派对1.5w!J15</f>
        <v>0</v>
      </c>
      <c r="K16" s="91"/>
      <c r="L16" s="91"/>
      <c r="M16" s="91"/>
      <c r="N16" s="91"/>
      <c r="O16" s="91"/>
      <c r="P16" s="91"/>
      <c r="Q16" s="91"/>
      <c r="R16" s="91"/>
    </row>
    <row r="17" spans="1:18" ht="24" customHeight="1">
      <c r="B17" s="69" t="s">
        <v>74</v>
      </c>
      <c r="C17" s="65" t="s">
        <v>106</v>
      </c>
      <c r="D17" s="65" t="str">
        <f>夏日派对1.5w!L16</f>
        <v>第1档</v>
      </c>
      <c r="E17" s="65">
        <f>夏日派对1.5w!L7</f>
        <v>0</v>
      </c>
      <c r="F17" s="65">
        <f>夏日派对1.5w!L8</f>
        <v>363</v>
      </c>
      <c r="G17" s="65">
        <f>夏日派对1.5w!L10</f>
        <v>6</v>
      </c>
      <c r="H17" s="66">
        <f>夏日派对1.5w!L14</f>
        <v>0</v>
      </c>
      <c r="I17" s="70">
        <f>夏日派对1.5w!L15</f>
        <v>0</v>
      </c>
      <c r="K17" s="91"/>
      <c r="L17" s="91"/>
      <c r="M17" s="91"/>
      <c r="N17" s="91"/>
      <c r="O17" s="91"/>
      <c r="P17" s="91"/>
      <c r="Q17" s="91"/>
      <c r="R17" s="91"/>
    </row>
    <row r="18" spans="1:18" ht="38.4" customHeight="1" thickBot="1">
      <c r="A18" s="61" t="s">
        <v>102</v>
      </c>
      <c r="B18" s="76" t="s">
        <v>75</v>
      </c>
      <c r="C18" s="77" t="s">
        <v>107</v>
      </c>
      <c r="D18" s="77" t="str">
        <f>夏日派对1.5w!N16</f>
        <v>第1档</v>
      </c>
      <c r="E18" s="77">
        <f>夏日派对1.5w!N7</f>
        <v>406</v>
      </c>
      <c r="F18" s="77">
        <f>夏日派对1.5w!N8</f>
        <v>0</v>
      </c>
      <c r="G18" s="77">
        <f>夏日派对1.5w!N10</f>
        <v>0</v>
      </c>
      <c r="H18" s="78">
        <f>夏日派对1.5w!N14</f>
        <v>19273</v>
      </c>
      <c r="I18" s="88">
        <f>夏日派对1.5w!N15</f>
        <v>510</v>
      </c>
      <c r="K18" s="91"/>
      <c r="L18" s="91"/>
      <c r="M18" s="91"/>
      <c r="N18" s="91"/>
      <c r="O18" s="91"/>
      <c r="P18" s="91"/>
      <c r="Q18" s="91"/>
      <c r="R18" s="91"/>
    </row>
    <row r="19" spans="1:18" ht="17.399999999999999" customHeight="1" thickTop="1" thickBot="1">
      <c r="B19" s="79"/>
      <c r="C19" s="80"/>
      <c r="D19" s="80"/>
      <c r="E19" s="80"/>
      <c r="F19" s="80"/>
      <c r="G19" s="80"/>
      <c r="H19" s="80"/>
      <c r="I19" s="81"/>
      <c r="K19" s="91"/>
      <c r="L19" s="91"/>
      <c r="M19" s="91"/>
      <c r="N19" s="91"/>
      <c r="O19" s="91"/>
      <c r="P19" s="91"/>
      <c r="Q19" s="91"/>
      <c r="R19" s="91"/>
    </row>
    <row r="20" spans="1:18" ht="18.45" customHeight="1" thickTop="1">
      <c r="B20" s="124" t="s">
        <v>76</v>
      </c>
      <c r="C20" s="125"/>
      <c r="D20" s="125"/>
      <c r="E20" s="125"/>
      <c r="F20" s="125"/>
      <c r="G20" s="125"/>
      <c r="H20" s="125"/>
      <c r="I20" s="126"/>
      <c r="K20" s="91"/>
      <c r="L20" s="91"/>
      <c r="M20" s="91"/>
      <c r="N20" s="91"/>
      <c r="O20" s="91"/>
      <c r="P20" s="91"/>
      <c r="Q20" s="91"/>
      <c r="R20" s="91"/>
    </row>
    <row r="21" spans="1:18" ht="66" customHeight="1" thickBot="1">
      <c r="B21" s="127" t="s">
        <v>109</v>
      </c>
      <c r="C21" s="128"/>
      <c r="D21" s="128"/>
      <c r="E21" s="128"/>
      <c r="F21" s="128"/>
      <c r="G21" s="128"/>
      <c r="H21" s="128"/>
      <c r="I21" s="129"/>
      <c r="K21" s="91"/>
      <c r="L21" s="91"/>
      <c r="M21" s="91"/>
      <c r="N21" s="91"/>
      <c r="O21" s="91"/>
      <c r="P21" s="91"/>
      <c r="Q21" s="91"/>
      <c r="R21" s="91"/>
    </row>
    <row r="22" spans="1:18" ht="34.5" customHeight="1" thickTop="1">
      <c r="B22" s="64"/>
      <c r="C22" s="64"/>
      <c r="D22" s="64"/>
      <c r="E22" s="64"/>
      <c r="F22" s="64"/>
      <c r="G22" s="64"/>
      <c r="H22" s="64"/>
      <c r="I22" s="64"/>
      <c r="K22" s="91"/>
      <c r="L22" s="91"/>
      <c r="M22" s="91"/>
      <c r="N22" s="91"/>
      <c r="O22" s="91"/>
      <c r="P22" s="91"/>
      <c r="Q22" s="91"/>
      <c r="R22" s="91"/>
    </row>
    <row r="23" spans="1:18" ht="12.9" customHeight="1">
      <c r="B23" s="64"/>
      <c r="C23" s="64"/>
      <c r="D23" s="64"/>
      <c r="E23" s="64"/>
      <c r="F23" s="64"/>
      <c r="G23" s="64"/>
      <c r="H23" s="64"/>
      <c r="I23" s="64"/>
      <c r="K23" s="91"/>
      <c r="L23" s="91"/>
      <c r="M23" s="91"/>
      <c r="N23" s="91"/>
      <c r="O23" s="91"/>
      <c r="P23" s="91"/>
      <c r="Q23" s="91"/>
      <c r="R23" s="91"/>
    </row>
    <row r="24" spans="1:18" ht="15.6" customHeight="1">
      <c r="B24" s="62"/>
      <c r="C24" s="62"/>
      <c r="D24" s="62"/>
      <c r="E24" s="62"/>
      <c r="F24" s="62"/>
      <c r="G24" s="62"/>
      <c r="H24" s="62"/>
      <c r="I24" s="62"/>
      <c r="K24" s="91"/>
      <c r="L24" s="91"/>
      <c r="M24" s="91"/>
      <c r="N24" s="91"/>
      <c r="O24" s="91"/>
      <c r="P24" s="91"/>
      <c r="Q24" s="91"/>
      <c r="R24" s="91"/>
    </row>
    <row r="25" spans="1:18" ht="16.2" customHeight="1">
      <c r="B25" s="63"/>
      <c r="C25" s="63"/>
      <c r="D25" s="63"/>
      <c r="E25" s="63"/>
      <c r="F25" s="63"/>
      <c r="G25" s="63"/>
      <c r="H25" s="63"/>
      <c r="I25" s="63"/>
      <c r="K25" s="91"/>
      <c r="L25" s="91"/>
      <c r="M25" s="91"/>
      <c r="N25" s="91"/>
      <c r="O25" s="91"/>
      <c r="P25" s="91"/>
      <c r="Q25" s="91"/>
      <c r="R25" s="91"/>
    </row>
    <row r="26" spans="1:18" ht="15.3" customHeight="1">
      <c r="B26" s="63"/>
      <c r="C26" s="63"/>
      <c r="D26" s="63"/>
      <c r="E26" s="63"/>
      <c r="F26" s="63"/>
      <c r="G26" s="63"/>
      <c r="H26" s="63"/>
      <c r="I26" s="63"/>
      <c r="K26" s="91"/>
      <c r="L26" s="91"/>
      <c r="M26" s="91"/>
      <c r="N26" s="91"/>
      <c r="O26" s="91"/>
      <c r="P26" s="91"/>
      <c r="Q26" s="91"/>
      <c r="R26" s="91"/>
    </row>
    <row r="27" spans="1:18" ht="22.95" customHeight="1">
      <c r="B27" s="63"/>
      <c r="C27" s="63"/>
      <c r="D27" s="63"/>
      <c r="E27" s="63"/>
      <c r="F27" s="63"/>
      <c r="G27" s="63"/>
      <c r="H27" s="63"/>
      <c r="I27" s="63"/>
      <c r="K27" s="91"/>
      <c r="L27" s="91"/>
      <c r="M27" s="91"/>
      <c r="N27" s="91"/>
      <c r="O27" s="91"/>
      <c r="P27" s="91"/>
      <c r="Q27" s="91"/>
      <c r="R27" s="91"/>
    </row>
    <row r="28" spans="1:18" ht="22.95" customHeight="1">
      <c r="K28" s="91"/>
      <c r="L28" s="91"/>
      <c r="M28" s="91"/>
      <c r="N28" s="91"/>
      <c r="O28" s="91"/>
      <c r="P28" s="91"/>
      <c r="Q28" s="91"/>
      <c r="R28" s="91"/>
    </row>
    <row r="29" spans="1:18" ht="22.95" customHeight="1">
      <c r="K29" s="91"/>
      <c r="L29" s="91"/>
      <c r="M29" s="91"/>
      <c r="N29" s="91"/>
      <c r="O29" s="91"/>
      <c r="P29" s="91"/>
      <c r="Q29" s="91"/>
      <c r="R29" s="91"/>
    </row>
    <row r="30" spans="1:18" ht="15.6" customHeight="1">
      <c r="K30" s="91"/>
      <c r="L30" s="91"/>
      <c r="M30" s="91"/>
      <c r="N30" s="91"/>
      <c r="O30" s="91"/>
      <c r="P30" s="91"/>
      <c r="Q30" s="91"/>
      <c r="R30" s="91"/>
    </row>
    <row r="31" spans="1:18" ht="20.55" customHeight="1">
      <c r="K31" s="91"/>
      <c r="L31" s="91"/>
      <c r="M31" s="91"/>
      <c r="N31" s="91"/>
      <c r="O31" s="91"/>
      <c r="P31" s="91"/>
      <c r="Q31" s="91"/>
      <c r="R31" s="91"/>
    </row>
    <row r="32" spans="1:18" ht="15.6" customHeight="1">
      <c r="K32" s="91"/>
      <c r="L32" s="91"/>
      <c r="M32" s="91"/>
      <c r="N32" s="91"/>
      <c r="O32" s="91"/>
      <c r="P32" s="91"/>
      <c r="Q32" s="91"/>
      <c r="R32" s="91"/>
    </row>
    <row r="33" ht="17.850000000000001" customHeight="1"/>
  </sheetData>
  <mergeCells count="10">
    <mergeCell ref="B8:I9"/>
    <mergeCell ref="B20:I20"/>
    <mergeCell ref="B21:I21"/>
    <mergeCell ref="B2:I2"/>
    <mergeCell ref="B4:C5"/>
    <mergeCell ref="D4:F5"/>
    <mergeCell ref="G4:I5"/>
    <mergeCell ref="B6:C6"/>
    <mergeCell ref="D6:F6"/>
    <mergeCell ref="G6:I6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A07E-B7B3-41BA-94D1-FF2AEC69EBF9}">
  <dimension ref="A1:R56"/>
  <sheetViews>
    <sheetView workbookViewId="0">
      <selection activeCell="B21" sqref="B21:I21"/>
    </sheetView>
  </sheetViews>
  <sheetFormatPr defaultRowHeight="15.6"/>
  <cols>
    <col min="1" max="1" width="13.21875" style="1" customWidth="1"/>
    <col min="2" max="2" width="10.109375" style="1" customWidth="1"/>
    <col min="3" max="3" width="11.88671875" style="1" customWidth="1"/>
    <col min="4" max="4" width="11.44140625" style="1" customWidth="1"/>
    <col min="5" max="5" width="12.109375" style="1" customWidth="1"/>
    <col min="6" max="6" width="10.109375" style="1" customWidth="1"/>
    <col min="7" max="7" width="10.77734375" style="1" customWidth="1"/>
    <col min="8" max="8" width="10.5546875" style="1" customWidth="1"/>
    <col min="9" max="9" width="11.88671875" style="1" customWidth="1"/>
    <col min="10" max="10" width="11" style="1" customWidth="1"/>
    <col min="11" max="11" width="8.88671875" style="1"/>
    <col min="12" max="12" width="10.5546875" style="1" customWidth="1"/>
    <col min="13" max="13" width="13.77734375" style="1" customWidth="1"/>
    <col min="14" max="14" width="10.5546875" style="1" customWidth="1"/>
    <col min="15" max="15" width="17.109375" style="1" customWidth="1"/>
    <col min="16" max="16" width="7.77734375" style="1" customWidth="1"/>
    <col min="17" max="17" width="13.5546875" style="1" customWidth="1"/>
    <col min="18" max="18" width="9.88671875" style="1" customWidth="1"/>
    <col min="19" max="19" width="13.6640625" style="1" customWidth="1"/>
    <col min="20" max="20" width="14.6640625" style="1" customWidth="1"/>
    <col min="21" max="16384" width="8.88671875" style="1"/>
  </cols>
  <sheetData>
    <row r="1" spans="1:15" ht="16.2" thickTop="1">
      <c r="A1" s="16"/>
      <c r="B1" s="173" t="s">
        <v>53</v>
      </c>
      <c r="C1" s="174"/>
      <c r="D1" s="173" t="s">
        <v>54</v>
      </c>
      <c r="E1" s="174"/>
      <c r="F1" s="173" t="s">
        <v>55</v>
      </c>
      <c r="G1" s="174"/>
      <c r="H1" s="173" t="s">
        <v>56</v>
      </c>
      <c r="I1" s="174"/>
      <c r="J1" s="173" t="s">
        <v>57</v>
      </c>
      <c r="K1" s="174"/>
      <c r="L1" s="173" t="s">
        <v>58</v>
      </c>
      <c r="M1" s="174"/>
      <c r="N1" s="173" t="s">
        <v>59</v>
      </c>
      <c r="O1" s="174"/>
    </row>
    <row r="2" spans="1:15">
      <c r="A2" s="17"/>
      <c r="B2" s="3" t="str">
        <f>抽奖道具</f>
        <v>刮刮券</v>
      </c>
      <c r="C2" s="4" t="s">
        <v>26</v>
      </c>
      <c r="D2" s="3" t="str">
        <f>抽奖道具</f>
        <v>刮刮券</v>
      </c>
      <c r="E2" s="4" t="s">
        <v>26</v>
      </c>
      <c r="F2" s="3" t="str">
        <f>抽奖道具</f>
        <v>刮刮券</v>
      </c>
      <c r="G2" s="4" t="s">
        <v>26</v>
      </c>
      <c r="H2" s="3" t="str">
        <f>抽奖道具</f>
        <v>刮刮券</v>
      </c>
      <c r="I2" s="4" t="s">
        <v>26</v>
      </c>
      <c r="J2" s="3" t="str">
        <f>抽奖道具</f>
        <v>刮刮券</v>
      </c>
      <c r="K2" s="4" t="s">
        <v>26</v>
      </c>
      <c r="L2" s="3" t="str">
        <f>抽奖道具</f>
        <v>刮刮券</v>
      </c>
      <c r="M2" s="4" t="s">
        <v>26</v>
      </c>
      <c r="N2" s="3" t="str">
        <f>抽奖道具</f>
        <v>刮刮券</v>
      </c>
      <c r="O2" s="4" t="s">
        <v>26</v>
      </c>
    </row>
    <row r="3" spans="1:15">
      <c r="A3" s="17" t="s">
        <v>60</v>
      </c>
      <c r="B3" s="3">
        <v>5</v>
      </c>
      <c r="C3" s="4">
        <f>B3*积分规则1</f>
        <v>100</v>
      </c>
      <c r="D3" s="3"/>
      <c r="E3" s="4">
        <f>D3*积分规则1</f>
        <v>0</v>
      </c>
      <c r="F3" s="3"/>
      <c r="G3" s="4">
        <f>F3*积分规则1</f>
        <v>0</v>
      </c>
      <c r="H3" s="3"/>
      <c r="I3" s="4">
        <f>H3*积分规则1</f>
        <v>0</v>
      </c>
      <c r="J3" s="3"/>
      <c r="K3" s="4">
        <f>J3*积分规则1</f>
        <v>0</v>
      </c>
      <c r="L3" s="3"/>
      <c r="M3" s="4">
        <f>L3*积分规则1</f>
        <v>0</v>
      </c>
      <c r="N3" s="3"/>
      <c r="O3" s="4">
        <f>N3*积分规则1</f>
        <v>0</v>
      </c>
    </row>
    <row r="4" spans="1:15">
      <c r="A4" s="17" t="s">
        <v>61</v>
      </c>
      <c r="B4" s="3">
        <v>43</v>
      </c>
      <c r="C4" s="4">
        <f>B4*积分规则1</f>
        <v>860</v>
      </c>
      <c r="D4" s="3">
        <v>43</v>
      </c>
      <c r="E4" s="4">
        <f>D4*积分规则1</f>
        <v>860</v>
      </c>
      <c r="F4" s="3">
        <v>43</v>
      </c>
      <c r="G4" s="4">
        <f>F4*积分规则1</f>
        <v>860</v>
      </c>
      <c r="H4" s="3">
        <v>43</v>
      </c>
      <c r="I4" s="4">
        <f>H4*积分规则1</f>
        <v>860</v>
      </c>
      <c r="J4" s="3">
        <v>43</v>
      </c>
      <c r="K4" s="4">
        <f>J4*积分规则1</f>
        <v>860</v>
      </c>
      <c r="L4" s="3">
        <v>43</v>
      </c>
      <c r="M4" s="4">
        <f>L4*积分规则1</f>
        <v>860</v>
      </c>
      <c r="N4" s="3">
        <v>43</v>
      </c>
      <c r="O4" s="4">
        <f>N4*积分规则1</f>
        <v>860</v>
      </c>
    </row>
    <row r="5" spans="1:15">
      <c r="A5" s="18" t="s">
        <v>45</v>
      </c>
      <c r="B5" s="3">
        <v>100</v>
      </c>
      <c r="C5" s="4">
        <f>B5*积分规则1</f>
        <v>2000</v>
      </c>
      <c r="D5" s="3">
        <v>100</v>
      </c>
      <c r="E5" s="4">
        <f>D5*积分规则1</f>
        <v>2000</v>
      </c>
      <c r="F5" s="3">
        <v>100</v>
      </c>
      <c r="G5" s="4">
        <f>F5*积分规则1</f>
        <v>2000</v>
      </c>
      <c r="H5" s="3">
        <v>100</v>
      </c>
      <c r="I5" s="4">
        <f>H5*积分规则1</f>
        <v>2000</v>
      </c>
      <c r="J5" s="3">
        <v>100</v>
      </c>
      <c r="K5" s="4">
        <f>J5*积分规则1</f>
        <v>2000</v>
      </c>
      <c r="L5" s="3">
        <v>100</v>
      </c>
      <c r="M5" s="4">
        <f>L5*积分规则1</f>
        <v>2000</v>
      </c>
      <c r="N5" s="3">
        <v>100</v>
      </c>
      <c r="O5" s="4">
        <f>N5*积分规则1</f>
        <v>2000</v>
      </c>
    </row>
    <row r="6" spans="1:15">
      <c r="A6" s="18" t="s">
        <v>91</v>
      </c>
      <c r="B6" s="3">
        <v>210</v>
      </c>
      <c r="C6" s="4">
        <f>B6*积分规则1</f>
        <v>4200</v>
      </c>
      <c r="D6" s="3">
        <v>50</v>
      </c>
      <c r="E6" s="4">
        <f>D6*积分规则1</f>
        <v>1000</v>
      </c>
      <c r="F6" s="3">
        <v>50</v>
      </c>
      <c r="G6" s="4">
        <f>F6*积分规则1</f>
        <v>1000</v>
      </c>
      <c r="H6" s="3">
        <v>50</v>
      </c>
      <c r="I6" s="4">
        <f>H6*积分规则1</f>
        <v>1000</v>
      </c>
      <c r="J6" s="3">
        <v>0</v>
      </c>
      <c r="K6" s="4">
        <f>J6*积分规则1</f>
        <v>0</v>
      </c>
      <c r="L6" s="3">
        <v>0</v>
      </c>
      <c r="M6" s="4">
        <f>L6*积分规则1</f>
        <v>0</v>
      </c>
      <c r="N6" s="3">
        <v>0</v>
      </c>
      <c r="O6" s="4">
        <f>N6*积分规则1</f>
        <v>0</v>
      </c>
    </row>
    <row r="7" spans="1:15">
      <c r="A7" s="27" t="s">
        <v>62</v>
      </c>
      <c r="B7" s="3">
        <v>100</v>
      </c>
      <c r="C7" s="4">
        <f>B7*积分规则2</f>
        <v>100</v>
      </c>
      <c r="D7" s="3">
        <v>0</v>
      </c>
      <c r="E7" s="4">
        <f>D7*积分规则2</f>
        <v>0</v>
      </c>
      <c r="F7" s="3">
        <v>0</v>
      </c>
      <c r="G7" s="4">
        <f>F7*积分规则2</f>
        <v>0</v>
      </c>
      <c r="H7" s="3">
        <v>0</v>
      </c>
      <c r="I7" s="4">
        <f>H7*积分规则2</f>
        <v>0</v>
      </c>
      <c r="J7" s="3">
        <v>0</v>
      </c>
      <c r="K7" s="4">
        <f>J7*积分规则2</f>
        <v>0</v>
      </c>
      <c r="L7" s="3">
        <v>0</v>
      </c>
      <c r="M7" s="4">
        <f>L7*积分规则2</f>
        <v>0</v>
      </c>
      <c r="N7" s="3">
        <v>0</v>
      </c>
      <c r="O7" s="4">
        <f>N7*积分规则2</f>
        <v>0</v>
      </c>
    </row>
    <row r="8" spans="1:15">
      <c r="A8" s="19" t="str">
        <f>"使用"&amp;抽奖道具</f>
        <v>使用刮刮券</v>
      </c>
      <c r="B8" s="3">
        <v>300</v>
      </c>
      <c r="C8" s="4">
        <f>B8*实测高级道具*积分规则2</f>
        <v>258.06818181818181</v>
      </c>
      <c r="D8" s="3">
        <v>0</v>
      </c>
      <c r="E8" s="4">
        <f>D8*实测高级道具*积分规则2</f>
        <v>0</v>
      </c>
      <c r="F8" s="3">
        <v>0</v>
      </c>
      <c r="G8" s="4">
        <f>F8*实测高级道具*积分规则2</f>
        <v>0</v>
      </c>
      <c r="H8" s="3">
        <v>0</v>
      </c>
      <c r="I8" s="4">
        <f>H8*实测高级道具*积分规则2</f>
        <v>0</v>
      </c>
      <c r="J8" s="3">
        <v>186</v>
      </c>
      <c r="K8" s="4">
        <f>J8*实测高级道具*积分规则2</f>
        <v>160.00227272727273</v>
      </c>
      <c r="L8" s="3">
        <v>54</v>
      </c>
      <c r="M8" s="4">
        <f>L8*实测高级道具*积分规则2</f>
        <v>46.452272727272728</v>
      </c>
      <c r="N8" s="3">
        <v>826</v>
      </c>
      <c r="O8" s="4">
        <f>N8*实测高级道具*积分规则2</f>
        <v>710.54772727272723</v>
      </c>
    </row>
    <row r="9" spans="1:15">
      <c r="A9" s="20" t="str">
        <f>"剩余"&amp;抽奖道具</f>
        <v>剩余刮刮券</v>
      </c>
      <c r="B9" s="3">
        <f>B13-B8</f>
        <v>58</v>
      </c>
      <c r="C9" s="4"/>
      <c r="D9" s="3">
        <f>B9+SUM(D3:D7)-D8</f>
        <v>251</v>
      </c>
      <c r="E9" s="4"/>
      <c r="F9" s="3">
        <f>D9+SUM(F3:F7)-F8</f>
        <v>444</v>
      </c>
      <c r="G9" s="4"/>
      <c r="H9" s="3">
        <f>F9+SUM(H3:H7)-H8</f>
        <v>637</v>
      </c>
      <c r="I9" s="4"/>
      <c r="J9" s="3">
        <f>H9+SUM(J3:J7)-J8</f>
        <v>594</v>
      </c>
      <c r="K9" s="4"/>
      <c r="L9" s="3">
        <f>J9+SUM(L3:L7)-L8</f>
        <v>683</v>
      </c>
      <c r="M9" s="4"/>
      <c r="N9" s="3">
        <f>L9+SUM(N3:N6)-N8</f>
        <v>0</v>
      </c>
      <c r="O9" s="4"/>
    </row>
    <row r="10" spans="1:15">
      <c r="A10" s="25" t="s">
        <v>63</v>
      </c>
      <c r="B10" s="3">
        <v>0</v>
      </c>
      <c r="C10" s="4">
        <f>B10*随机箱积分</f>
        <v>0</v>
      </c>
      <c r="D10" s="3">
        <v>14</v>
      </c>
      <c r="E10" s="4">
        <f>D10*随机箱积分</f>
        <v>143.57</v>
      </c>
      <c r="F10" s="3">
        <v>14</v>
      </c>
      <c r="G10" s="4">
        <f>F10*随机箱积分</f>
        <v>143.57</v>
      </c>
      <c r="H10" s="3">
        <v>14</v>
      </c>
      <c r="I10" s="4">
        <f>H10*随机箱积分</f>
        <v>143.57</v>
      </c>
      <c r="J10" s="3">
        <v>96</v>
      </c>
      <c r="K10" s="4">
        <f>J10*随机箱积分</f>
        <v>984.4799999999999</v>
      </c>
      <c r="L10" s="3">
        <v>0</v>
      </c>
      <c r="M10" s="4">
        <f>L10*随机箱积分</f>
        <v>0</v>
      </c>
      <c r="N10" s="3">
        <v>24</v>
      </c>
      <c r="O10" s="4">
        <f>N10*随机箱积分</f>
        <v>246.11999999999998</v>
      </c>
    </row>
    <row r="11" spans="1:15">
      <c r="A11" s="20" t="s">
        <v>64</v>
      </c>
      <c r="B11" s="3">
        <f>B14-SUM(B10)</f>
        <v>78</v>
      </c>
      <c r="C11" s="4"/>
      <c r="D11" s="3">
        <f>D14-SUM(B10,D10)</f>
        <v>82</v>
      </c>
      <c r="E11" s="4"/>
      <c r="F11" s="3">
        <f>F14-SUM(B10,D10,F10)</f>
        <v>86</v>
      </c>
      <c r="G11" s="4"/>
      <c r="H11" s="3">
        <f>H14-SUM(B10,D10,F10,H10)</f>
        <v>90</v>
      </c>
      <c r="I11" s="4"/>
      <c r="J11" s="3">
        <f>J14-SUM(B10,D10,F10,H10,J10)</f>
        <v>12</v>
      </c>
      <c r="K11" s="4"/>
      <c r="L11" s="3">
        <f>L14-SUM(B10,D10,F10,H10,J10,L10)</f>
        <v>18</v>
      </c>
      <c r="M11" s="4"/>
      <c r="N11" s="3">
        <f>N14-SUM(B10,D10,F10,H10,J10,L10,N10)</f>
        <v>0</v>
      </c>
      <c r="O11" s="4"/>
    </row>
    <row r="12" spans="1:15">
      <c r="A12" s="21" t="s">
        <v>65</v>
      </c>
      <c r="B12" s="8" t="str">
        <f>IFERROR(LOOKUP(C12,档位积分1:档位积分5,第1档:第5档),"无奖励")</f>
        <v>第4档</v>
      </c>
      <c r="C12" s="9">
        <f>SUM(C3:C8)+C10</f>
        <v>7518.068181818182</v>
      </c>
      <c r="D12" s="8" t="str">
        <f>IFERROR(LOOKUP(E12,档位积分1:档位积分5,第1档:第5档),"无奖励")</f>
        <v>第3档</v>
      </c>
      <c r="E12" s="9">
        <f>SUM(E3:E8)+E10</f>
        <v>4003.57</v>
      </c>
      <c r="F12" s="8" t="str">
        <f>IFERROR(LOOKUP(G12,档位积分1:档位积分5,第1档:第5档),"无奖励")</f>
        <v>第3档</v>
      </c>
      <c r="G12" s="9">
        <f>SUM(G3:G8)+G10</f>
        <v>4003.57</v>
      </c>
      <c r="H12" s="8" t="str">
        <f>IFERROR(LOOKUP(I12,档位积分1:档位积分5,第1档:第5档),"无奖励")</f>
        <v>第3档</v>
      </c>
      <c r="I12" s="9">
        <f>SUM(I3:I8)+I10</f>
        <v>4003.57</v>
      </c>
      <c r="J12" s="8" t="str">
        <f>IFERROR(LOOKUP(K12,档位积分1:档位积分5,第1档:第5档),"无奖励")</f>
        <v>第3档</v>
      </c>
      <c r="K12" s="9">
        <f>SUM(K3:K8)+K10</f>
        <v>4004.4822727272726</v>
      </c>
      <c r="L12" s="8" t="str">
        <f>IFERROR(LOOKUP(M12,档位积分1:档位积分5,第1档:第5档),"无奖励")</f>
        <v>第2档</v>
      </c>
      <c r="M12" s="9">
        <f>SUM(M3:M8)+M10</f>
        <v>2906.4522727272729</v>
      </c>
      <c r="N12" s="8" t="str">
        <f>IFERROR(LOOKUP(O12,档位积分1:档位积分5,第1档:第5档),"无奖励")</f>
        <v>第2档</v>
      </c>
      <c r="O12" s="9">
        <f>SUM(O3:O8)+O10</f>
        <v>3816.667727272727</v>
      </c>
    </row>
    <row r="13" spans="1:15">
      <c r="A13" s="17" t="str">
        <f>"累积"&amp;抽奖道具</f>
        <v>累积刮刮券</v>
      </c>
      <c r="B13" s="3">
        <f>SUM(B3:B6)</f>
        <v>358</v>
      </c>
      <c r="C13" s="4">
        <f>B8*实测高级道具*积分规则2</f>
        <v>258.06818181818181</v>
      </c>
      <c r="D13" s="3">
        <f>B13+SUM(D3:D6)</f>
        <v>551</v>
      </c>
      <c r="E13" s="4">
        <v>0</v>
      </c>
      <c r="F13" s="3">
        <f>D13+SUM(F3:F6)</f>
        <v>744</v>
      </c>
      <c r="G13" s="4">
        <v>0</v>
      </c>
      <c r="H13" s="3">
        <f>F13+SUM(H3:H6)</f>
        <v>937</v>
      </c>
      <c r="I13" s="4">
        <v>0</v>
      </c>
      <c r="J13" s="3">
        <f>H13+SUM(J3:J6)</f>
        <v>1080</v>
      </c>
      <c r="K13" s="4">
        <v>0</v>
      </c>
      <c r="L13" s="3">
        <f>J13+SUM(L3:L6)</f>
        <v>1223</v>
      </c>
      <c r="M13" s="4">
        <v>0</v>
      </c>
      <c r="N13" s="3">
        <f>L13+SUM(N3:N6)</f>
        <v>1366</v>
      </c>
      <c r="O13" s="4">
        <v>0</v>
      </c>
    </row>
    <row r="14" spans="1:15">
      <c r="A14" s="17" t="s">
        <v>36</v>
      </c>
      <c r="B14" s="3">
        <f>IFERROR(LOOKUP(C12,档位积分1:档位积分5,档位奖励1:档位奖励5),0)</f>
        <v>78</v>
      </c>
      <c r="C14" s="4">
        <f>B14*随机箱积分</f>
        <v>799.88999999999987</v>
      </c>
      <c r="D14" s="3">
        <f>IFERROR(LOOKUP(E12,档位积分1:档位积分5,档位奖励1:档位奖励5),0)+B14</f>
        <v>96</v>
      </c>
      <c r="E14" s="4">
        <f>D14*随机箱积分</f>
        <v>984.4799999999999</v>
      </c>
      <c r="F14" s="3">
        <f>IFERROR(LOOKUP(G12,档位积分1:档位积分5,档位奖励1:档位奖励5),0)+D14</f>
        <v>114</v>
      </c>
      <c r="G14" s="4">
        <f>F14*随机箱积分</f>
        <v>1169.07</v>
      </c>
      <c r="H14" s="3">
        <f>IFERROR(LOOKUP(I12,档位积分1:档位积分5,档位奖励1:档位奖励5),0)+F14</f>
        <v>132</v>
      </c>
      <c r="I14" s="4">
        <f>H14*随机箱积分</f>
        <v>1353.6599999999999</v>
      </c>
      <c r="J14" s="3">
        <f>IFERROR(LOOKUP(K12,档位积分1:档位积分5,档位奖励1:档位奖励5),0)+H14</f>
        <v>150</v>
      </c>
      <c r="K14" s="4">
        <f>J14*随机箱积分</f>
        <v>1538.2499999999998</v>
      </c>
      <c r="L14" s="3">
        <f>IFERROR(LOOKUP(M12,档位积分1:档位积分5,档位奖励1:档位奖励5),0)+J14</f>
        <v>156</v>
      </c>
      <c r="M14" s="4">
        <f>L14*随机箱积分</f>
        <v>1599.7799999999997</v>
      </c>
      <c r="N14" s="3">
        <f>IFERROR(LOOKUP(O12,档位积分1:档位积分5,档位奖励1:档位奖励5),0)+L14</f>
        <v>162</v>
      </c>
      <c r="O14" s="4">
        <f>N14*随机箱积分</f>
        <v>1661.31</v>
      </c>
    </row>
    <row r="15" spans="1:15">
      <c r="A15" s="17" t="str">
        <f>普通兑换道具</f>
        <v>香草冰淇淋</v>
      </c>
      <c r="B15" s="22">
        <f>B8*实测普通道具</f>
        <v>16384.090909090912</v>
      </c>
      <c r="C15" s="4"/>
      <c r="D15" s="22">
        <f>D8*实测普通道具+B15</f>
        <v>16384.090909090912</v>
      </c>
      <c r="E15" s="4"/>
      <c r="F15" s="22">
        <f>F8*实测普通道具+D15</f>
        <v>16384.090909090912</v>
      </c>
      <c r="G15" s="23"/>
      <c r="H15" s="22">
        <f>H8*实测普通道具+F15</f>
        <v>16384.090909090912</v>
      </c>
      <c r="I15" s="23"/>
      <c r="J15" s="22">
        <f>J8*实测普通道具+H15</f>
        <v>26542.227272727276</v>
      </c>
      <c r="K15" s="23"/>
      <c r="L15" s="22">
        <f>L8*实测普通道具+J15</f>
        <v>29491.36363636364</v>
      </c>
      <c r="M15" s="23"/>
      <c r="N15" s="22">
        <f>ROUNDDOWN(N8*实测普通道具+L15-2900,0)</f>
        <v>71702</v>
      </c>
      <c r="O15" s="4"/>
    </row>
    <row r="16" spans="1:15" ht="16.2" thickBot="1">
      <c r="A16" s="17" t="str">
        <f>高级兑换道具</f>
        <v>梦幻冰淇淋</v>
      </c>
      <c r="B16" s="22">
        <f>B8*实测高级道具+B10*随机箱高级道具+B7</f>
        <v>358.06818181818181</v>
      </c>
      <c r="C16" s="4"/>
      <c r="D16" s="22">
        <f>D8*实测高级道具+D10*随机箱高级道具+B16</f>
        <v>501.63818181818181</v>
      </c>
      <c r="E16" s="23"/>
      <c r="F16" s="22">
        <f>F8*实测高级道具+F10*随机箱高级道具+D16</f>
        <v>645.20818181818186</v>
      </c>
      <c r="G16" s="23"/>
      <c r="H16" s="22">
        <f>H8*实测高级道具+H10*随机箱高级道具+F16</f>
        <v>788.77818181818179</v>
      </c>
      <c r="I16" s="23"/>
      <c r="J16" s="22">
        <f>J8*实测高级道具+J10*随机箱高级道具+H16</f>
        <v>1933.2604545454544</v>
      </c>
      <c r="K16" s="23"/>
      <c r="L16" s="22">
        <f>L8*实测高级道具+L10*随机箱高级道具+J16</f>
        <v>1979.7127272727271</v>
      </c>
      <c r="M16" s="23"/>
      <c r="N16" s="22">
        <f>ROUNDDOWN(N8*实测高级道具+N10*随机箱高级道具+L16,0)</f>
        <v>2936</v>
      </c>
      <c r="O16" s="4"/>
    </row>
    <row r="17" spans="1:18" ht="16.8" thickTop="1" thickBot="1">
      <c r="A17" s="24" t="s">
        <v>66</v>
      </c>
      <c r="B17" s="181" t="str">
        <f>B12</f>
        <v>第4档</v>
      </c>
      <c r="C17" s="182"/>
      <c r="D17" s="181" t="str">
        <f>D12</f>
        <v>第3档</v>
      </c>
      <c r="E17" s="182"/>
      <c r="F17" s="181" t="str">
        <f>F12</f>
        <v>第3档</v>
      </c>
      <c r="G17" s="182"/>
      <c r="H17" s="181" t="str">
        <f>H12</f>
        <v>第3档</v>
      </c>
      <c r="I17" s="182"/>
      <c r="J17" s="181" t="str">
        <f>J12</f>
        <v>第3档</v>
      </c>
      <c r="K17" s="182"/>
      <c r="L17" s="181" t="str">
        <f>L12</f>
        <v>第2档</v>
      </c>
      <c r="M17" s="182"/>
      <c r="N17" s="181" t="str">
        <f>N12</f>
        <v>第2档</v>
      </c>
      <c r="O17" s="182"/>
    </row>
    <row r="18" spans="1:18" ht="16.8" thickTop="1" thickBot="1">
      <c r="A18" s="24" t="s">
        <v>90</v>
      </c>
      <c r="B18" s="30">
        <v>8000</v>
      </c>
      <c r="C18" s="94"/>
      <c r="D18" s="94">
        <v>1500</v>
      </c>
      <c r="E18" s="94"/>
      <c r="F18" s="94">
        <v>1500</v>
      </c>
      <c r="G18" s="94"/>
      <c r="H18" s="94">
        <v>1500</v>
      </c>
      <c r="I18" s="94"/>
      <c r="J18" s="94">
        <v>0</v>
      </c>
      <c r="K18" s="94"/>
      <c r="L18" s="94">
        <v>0</v>
      </c>
      <c r="M18" s="94"/>
      <c r="N18" s="94">
        <v>0</v>
      </c>
      <c r="O18" s="31"/>
    </row>
    <row r="19" spans="1:18" ht="28.2" thickTop="1">
      <c r="A19" s="166" t="s">
        <v>89</v>
      </c>
      <c r="B19" s="183">
        <f>SUM(B5,D5,F5,H5,J5,L5,N5)*钻石购买</f>
        <v>105000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5"/>
    </row>
    <row r="20" spans="1:18" ht="38.4" customHeight="1" thickBot="1">
      <c r="A20" s="167"/>
      <c r="B20" s="186" t="str">
        <f>"最终收益："&amp;ROUNDDOWN(N16,0)&amp;A16&amp;"+"&amp;ROUNDDOWN(N15,0)&amp;A15</f>
        <v>最终收益：2936梦幻冰淇淋+71702香草冰淇淋</v>
      </c>
      <c r="C20" s="187"/>
      <c r="D20" s="187"/>
      <c r="E20" s="187"/>
      <c r="F20" s="187"/>
      <c r="G20" s="187"/>
      <c r="H20" s="187"/>
      <c r="I20" s="187"/>
      <c r="J20" s="187" t="s">
        <v>93</v>
      </c>
      <c r="K20" s="187"/>
      <c r="L20" s="187"/>
      <c r="M20" s="187"/>
      <c r="N20" s="187"/>
      <c r="O20" s="188"/>
    </row>
    <row r="21" spans="1:18" ht="17.7" customHeight="1" thickTop="1">
      <c r="A21" s="37"/>
      <c r="B21" s="3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8" ht="17.7" customHeight="1">
      <c r="A22" s="37"/>
      <c r="B22" s="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8" ht="17.7" customHeight="1">
      <c r="A23" s="37"/>
      <c r="B23" s="92"/>
      <c r="C23" s="93"/>
      <c r="D23" s="93"/>
      <c r="E23" s="93"/>
      <c r="F23" s="93"/>
      <c r="G23" s="93"/>
      <c r="H23" s="93"/>
      <c r="I23" s="93"/>
      <c r="J23" s="12"/>
      <c r="K23" s="12"/>
      <c r="L23" s="12"/>
      <c r="M23" s="12"/>
      <c r="N23" s="12"/>
      <c r="O23" s="12"/>
    </row>
    <row r="24" spans="1:18" ht="17.7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8">
      <c r="E25" s="176"/>
      <c r="F25" s="176"/>
      <c r="G25" s="176"/>
      <c r="H25" s="176"/>
      <c r="J25" s="160"/>
      <c r="K25" s="160"/>
      <c r="L25" s="160"/>
      <c r="M25" s="160"/>
      <c r="O25" s="160"/>
      <c r="P25" s="160"/>
      <c r="Q25" s="160"/>
      <c r="R25" s="160"/>
    </row>
    <row r="26" spans="1:18">
      <c r="J26" s="6"/>
      <c r="K26" s="6"/>
      <c r="L26" s="6"/>
      <c r="M26" s="6"/>
      <c r="O26" s="6"/>
      <c r="Q26" s="6"/>
      <c r="R26" s="6"/>
    </row>
    <row r="27" spans="1:18">
      <c r="F27" s="2"/>
      <c r="J27" s="6"/>
      <c r="K27" s="6"/>
      <c r="L27" s="39"/>
      <c r="M27" s="6"/>
      <c r="O27" s="6"/>
      <c r="Q27" s="39"/>
      <c r="R27" s="6"/>
    </row>
    <row r="28" spans="1:18">
      <c r="F28" s="28"/>
      <c r="J28" s="6"/>
      <c r="K28" s="6"/>
      <c r="L28" s="40"/>
      <c r="M28" s="6"/>
      <c r="O28" s="6"/>
      <c r="Q28" s="40"/>
      <c r="R28" s="6"/>
    </row>
    <row r="29" spans="1:18">
      <c r="F29" s="29"/>
      <c r="J29" s="6"/>
      <c r="K29" s="6"/>
      <c r="L29" s="6"/>
      <c r="M29" s="41"/>
      <c r="O29" s="35"/>
      <c r="Q29" s="35"/>
      <c r="R29" s="42"/>
    </row>
    <row r="30" spans="1:18">
      <c r="F30" s="38"/>
      <c r="G30" s="38"/>
      <c r="H30" s="38"/>
      <c r="J30" s="6"/>
      <c r="L30" s="40"/>
      <c r="M30" s="6"/>
      <c r="N30" s="43"/>
      <c r="O30" s="6"/>
    </row>
    <row r="31" spans="1:18">
      <c r="E31" s="6"/>
      <c r="F31" s="43"/>
      <c r="G31" s="6"/>
      <c r="J31" s="6"/>
      <c r="L31" s="40"/>
      <c r="M31" s="6"/>
      <c r="N31" s="6"/>
      <c r="O31" s="41"/>
    </row>
    <row r="32" spans="1:18">
      <c r="A32" s="175"/>
      <c r="B32" s="175"/>
      <c r="C32" s="175"/>
      <c r="J32" s="160"/>
      <c r="K32" s="160"/>
      <c r="L32" s="160"/>
      <c r="M32" s="160"/>
    </row>
    <row r="33" spans="1:15">
      <c r="J33" s="6"/>
      <c r="L33" s="6"/>
      <c r="M33" s="6"/>
      <c r="O33" s="35"/>
    </row>
    <row r="34" spans="1:15">
      <c r="J34" s="6"/>
      <c r="L34" s="6"/>
      <c r="M34" s="44"/>
      <c r="O34" s="35"/>
    </row>
    <row r="35" spans="1:15">
      <c r="J35" s="6"/>
      <c r="L35" s="6"/>
      <c r="M35" s="44"/>
      <c r="O35" s="35"/>
    </row>
    <row r="36" spans="1:15">
      <c r="A36" s="175"/>
      <c r="B36" s="175"/>
      <c r="C36" s="175"/>
      <c r="J36" s="6"/>
      <c r="L36" s="6"/>
      <c r="M36" s="44"/>
      <c r="O36" s="35"/>
    </row>
    <row r="37" spans="1:15">
      <c r="J37" s="6"/>
      <c r="L37" s="6"/>
      <c r="M37" s="6"/>
      <c r="O37" s="35"/>
    </row>
    <row r="38" spans="1:15">
      <c r="J38" s="6"/>
      <c r="L38" s="6"/>
      <c r="M38" s="6"/>
      <c r="O38" s="35"/>
    </row>
    <row r="39" spans="1:15">
      <c r="J39" s="6"/>
      <c r="L39" s="6"/>
      <c r="M39" s="6"/>
      <c r="O39" s="35"/>
    </row>
    <row r="40" spans="1:15">
      <c r="J40" s="6"/>
      <c r="L40" s="40"/>
      <c r="M40" s="6"/>
      <c r="O40" s="35"/>
    </row>
    <row r="41" spans="1:15">
      <c r="O41" s="35"/>
    </row>
    <row r="42" spans="1:15">
      <c r="O42" s="35"/>
    </row>
    <row r="43" spans="1:15">
      <c r="O43" s="35"/>
    </row>
    <row r="44" spans="1:15">
      <c r="O44" s="35"/>
    </row>
    <row r="45" spans="1:15">
      <c r="O45" s="35"/>
    </row>
    <row r="46" spans="1:15">
      <c r="O46" s="35"/>
    </row>
    <row r="47" spans="1:15">
      <c r="C47" s="2"/>
      <c r="O47" s="35"/>
    </row>
    <row r="48" spans="1:15">
      <c r="O48" s="35"/>
    </row>
    <row r="49" spans="15:15">
      <c r="O49" s="35"/>
    </row>
    <row r="50" spans="15:15">
      <c r="O50" s="35"/>
    </row>
    <row r="51" spans="15:15">
      <c r="O51" s="35"/>
    </row>
    <row r="52" spans="15:15">
      <c r="O52" s="35"/>
    </row>
    <row r="53" spans="15:15">
      <c r="O53" s="35"/>
    </row>
    <row r="54" spans="15:15">
      <c r="O54" s="35"/>
    </row>
    <row r="55" spans="15:15">
      <c r="O55" s="35"/>
    </row>
    <row r="56" spans="15:15">
      <c r="O56" s="35"/>
    </row>
  </sheetData>
  <mergeCells count="24">
    <mergeCell ref="N1:O1"/>
    <mergeCell ref="B17:C17"/>
    <mergeCell ref="D17:E17"/>
    <mergeCell ref="F17:G17"/>
    <mergeCell ref="H17:I17"/>
    <mergeCell ref="J17:K17"/>
    <mergeCell ref="L17:M17"/>
    <mergeCell ref="N17:O17"/>
    <mergeCell ref="B1:C1"/>
    <mergeCell ref="D1:E1"/>
    <mergeCell ref="F1:G1"/>
    <mergeCell ref="H1:I1"/>
    <mergeCell ref="J1:K1"/>
    <mergeCell ref="L1:M1"/>
    <mergeCell ref="A32:C32"/>
    <mergeCell ref="J32:M32"/>
    <mergeCell ref="A36:C36"/>
    <mergeCell ref="A19:A20"/>
    <mergeCell ref="B19:O19"/>
    <mergeCell ref="B20:I20"/>
    <mergeCell ref="J20:O20"/>
    <mergeCell ref="E25:H25"/>
    <mergeCell ref="J25:M25"/>
    <mergeCell ref="O25:R25"/>
  </mergeCells>
  <phoneticPr fontId="24" type="noConversion"/>
  <conditionalFormatting sqref="B5:O6">
    <cfRule type="cellIs" dxfId="3" priority="1" operator="greaterThan">
      <formula>0</formula>
    </cfRule>
  </conditionalFormatting>
  <conditionalFormatting sqref="B7:O7">
    <cfRule type="cellIs" dxfId="2" priority="3" operator="greaterThan">
      <formula>0</formula>
    </cfRule>
  </conditionalFormatting>
  <conditionalFormatting sqref="B8:O8">
    <cfRule type="cellIs" dxfId="1" priority="4" operator="greaterThan">
      <formula>0</formula>
    </cfRule>
  </conditionalFormatting>
  <conditionalFormatting sqref="B10:O10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FB15-ACFA-4983-A1AC-E67351357140}">
  <dimension ref="A1:U33"/>
  <sheetViews>
    <sheetView workbookViewId="0">
      <selection activeCell="B21" sqref="B21:I21"/>
    </sheetView>
  </sheetViews>
  <sheetFormatPr defaultRowHeight="15.6"/>
  <cols>
    <col min="1" max="1" width="4.44140625" style="61" customWidth="1"/>
    <col min="2" max="2" width="8.88671875" style="61" customWidth="1"/>
    <col min="3" max="3" width="53.109375" style="61" customWidth="1"/>
    <col min="4" max="4" width="9.109375" style="61" bestFit="1" customWidth="1"/>
    <col min="5" max="7" width="11.109375" style="61" bestFit="1" customWidth="1"/>
    <col min="8" max="9" width="15.77734375" style="61" customWidth="1"/>
    <col min="10" max="16384" width="8.88671875" style="61"/>
  </cols>
  <sheetData>
    <row r="1" spans="1:21" ht="16.2" thickBot="1"/>
    <row r="2" spans="1:21" ht="24" customHeight="1" thickTop="1" thickBot="1">
      <c r="B2" s="136" t="s">
        <v>99</v>
      </c>
      <c r="C2" s="137"/>
      <c r="D2" s="137"/>
      <c r="E2" s="137"/>
      <c r="F2" s="137"/>
      <c r="G2" s="137"/>
      <c r="H2" s="137"/>
      <c r="I2" s="138"/>
      <c r="K2" s="91"/>
      <c r="L2" s="91"/>
      <c r="M2" s="91"/>
      <c r="N2" s="91"/>
      <c r="O2" s="91"/>
      <c r="P2" s="91"/>
      <c r="Q2" s="91"/>
      <c r="R2" s="91"/>
    </row>
    <row r="3" spans="1:21" ht="16.8" customHeight="1" thickTop="1" thickBot="1">
      <c r="B3" s="79"/>
      <c r="C3" s="80"/>
      <c r="D3" s="80"/>
      <c r="E3" s="80"/>
      <c r="F3" s="80"/>
      <c r="G3" s="80"/>
      <c r="H3" s="80"/>
      <c r="I3" s="81"/>
      <c r="K3" s="91"/>
      <c r="L3" s="91"/>
      <c r="M3" s="91"/>
      <c r="N3" s="91"/>
      <c r="O3" s="91"/>
      <c r="P3" s="91"/>
      <c r="Q3" s="91"/>
      <c r="R3" s="91"/>
    </row>
    <row r="4" spans="1:21" ht="17.55" customHeight="1" thickTop="1">
      <c r="B4" s="141" t="s">
        <v>81</v>
      </c>
      <c r="C4" s="142"/>
      <c r="D4" s="141" t="str">
        <f>"期望"&amp;普通兑换道具</f>
        <v>期望香草冰淇淋</v>
      </c>
      <c r="E4" s="145"/>
      <c r="F4" s="142"/>
      <c r="G4" s="145" t="str">
        <f>"期望"&amp;高级兑换道具</f>
        <v>期望梦幻冰淇淋</v>
      </c>
      <c r="H4" s="145"/>
      <c r="I4" s="142"/>
      <c r="K4" s="91"/>
      <c r="L4" s="91"/>
      <c r="M4" s="91"/>
      <c r="N4" s="91"/>
      <c r="O4" s="91"/>
      <c r="P4" s="91"/>
      <c r="Q4" s="91"/>
      <c r="R4" s="91"/>
    </row>
    <row r="5" spans="1:21" ht="17.55" customHeight="1">
      <c r="B5" s="143"/>
      <c r="C5" s="144"/>
      <c r="D5" s="143"/>
      <c r="E5" s="146"/>
      <c r="F5" s="144"/>
      <c r="G5" s="146"/>
      <c r="H5" s="146"/>
      <c r="I5" s="144"/>
      <c r="K5" s="91"/>
      <c r="L5" s="91"/>
      <c r="M5" s="91"/>
      <c r="N5" s="91"/>
      <c r="O5" s="91"/>
      <c r="P5" s="91"/>
      <c r="Q5" s="91"/>
      <c r="R5" s="91"/>
      <c r="T5" s="89"/>
      <c r="U5" s="89"/>
    </row>
    <row r="6" spans="1:21" ht="20.85" customHeight="1" thickBot="1">
      <c r="B6" s="139" t="s">
        <v>98</v>
      </c>
      <c r="C6" s="140"/>
      <c r="D6" s="149">
        <f>'夏日派对10.5w+氪金'!N15</f>
        <v>71702</v>
      </c>
      <c r="E6" s="150"/>
      <c r="F6" s="151"/>
      <c r="G6" s="147">
        <f>'夏日派对10.5w+氪金'!N16</f>
        <v>2936</v>
      </c>
      <c r="H6" s="147"/>
      <c r="I6" s="148"/>
      <c r="K6" s="91"/>
      <c r="L6" s="91"/>
      <c r="M6" s="91"/>
      <c r="N6" s="91"/>
      <c r="O6" s="91"/>
      <c r="P6" s="91"/>
      <c r="Q6" s="91"/>
      <c r="R6" s="91"/>
      <c r="T6" s="89"/>
      <c r="U6" s="89"/>
    </row>
    <row r="7" spans="1:21" ht="13.35" customHeight="1" thickTop="1" thickBot="1">
      <c r="B7" s="82"/>
      <c r="C7" s="83"/>
      <c r="D7" s="84"/>
      <c r="E7" s="84"/>
      <c r="F7" s="85"/>
      <c r="G7" s="85"/>
      <c r="H7" s="86"/>
      <c r="I7" s="87"/>
      <c r="K7" s="91"/>
      <c r="L7" s="91"/>
      <c r="M7" s="91"/>
      <c r="N7" s="91"/>
      <c r="O7" s="91"/>
      <c r="P7" s="91"/>
      <c r="Q7" s="91"/>
      <c r="R7" s="91"/>
      <c r="T7" s="90"/>
      <c r="U7" s="90"/>
    </row>
    <row r="8" spans="1:21" ht="17.55" customHeight="1" thickTop="1">
      <c r="B8" s="130" t="s">
        <v>92</v>
      </c>
      <c r="C8" s="131"/>
      <c r="D8" s="131"/>
      <c r="E8" s="131"/>
      <c r="F8" s="131"/>
      <c r="G8" s="131"/>
      <c r="H8" s="131"/>
      <c r="I8" s="132"/>
      <c r="K8" s="91"/>
      <c r="L8" s="91"/>
      <c r="M8" s="91"/>
      <c r="N8" s="91"/>
      <c r="O8" s="91"/>
      <c r="P8" s="91"/>
      <c r="Q8" s="91"/>
      <c r="R8" s="91"/>
    </row>
    <row r="9" spans="1:21" ht="17.55" customHeight="1" thickBot="1">
      <c r="B9" s="133"/>
      <c r="C9" s="134"/>
      <c r="D9" s="134"/>
      <c r="E9" s="134"/>
      <c r="F9" s="134"/>
      <c r="G9" s="134"/>
      <c r="H9" s="134"/>
      <c r="I9" s="135"/>
      <c r="K9" s="91"/>
      <c r="L9" s="91"/>
      <c r="M9" s="91"/>
      <c r="N9" s="91"/>
      <c r="O9" s="91"/>
      <c r="P9" s="91"/>
      <c r="Q9" s="91"/>
      <c r="R9" s="91"/>
    </row>
    <row r="10" spans="1:21" ht="16.8" customHeight="1" thickTop="1" thickBot="1">
      <c r="B10" s="79"/>
      <c r="C10" s="80"/>
      <c r="D10" s="80"/>
      <c r="E10" s="80"/>
      <c r="F10" s="80"/>
      <c r="G10" s="80"/>
      <c r="H10" s="80"/>
      <c r="I10" s="81"/>
      <c r="K10" s="91"/>
      <c r="L10" s="91"/>
      <c r="M10" s="91"/>
      <c r="N10" s="91"/>
      <c r="O10" s="91"/>
      <c r="P10" s="91"/>
      <c r="Q10" s="91"/>
      <c r="R10" s="91"/>
    </row>
    <row r="11" spans="1:21" ht="19.2" customHeight="1" thickTop="1">
      <c r="B11" s="73" t="s">
        <v>68</v>
      </c>
      <c r="C11" s="74" t="s">
        <v>78</v>
      </c>
      <c r="D11" s="74" t="str">
        <f>'夏日派对10.5w+氪金'!A17</f>
        <v>目标档位</v>
      </c>
      <c r="E11" s="74" t="str">
        <f>'夏日派对10.5w+氪金'!A8</f>
        <v>使用刮刮券</v>
      </c>
      <c r="F11" s="74" t="str">
        <f>'夏日派对10.5w+氪金'!A9</f>
        <v>剩余刮刮券</v>
      </c>
      <c r="G11" s="74" t="str">
        <f>'夏日派对10.5w+氪金'!A11</f>
        <v>剩余随机箱</v>
      </c>
      <c r="H11" s="74" t="str">
        <f>"期望"&amp;普通兑换道具</f>
        <v>期望香草冰淇淋</v>
      </c>
      <c r="I11" s="75" t="str">
        <f>"期望"&amp;高级兑换道具</f>
        <v>期望梦幻冰淇淋</v>
      </c>
      <c r="K11" s="91"/>
      <c r="L11" s="91"/>
      <c r="M11" s="91"/>
      <c r="N11" s="91"/>
      <c r="O11" s="91"/>
      <c r="P11" s="91"/>
      <c r="Q11" s="91"/>
      <c r="R11" s="91"/>
    </row>
    <row r="12" spans="1:21" ht="24" customHeight="1">
      <c r="A12" s="61" t="s">
        <v>111</v>
      </c>
      <c r="B12" s="71" t="s">
        <v>69</v>
      </c>
      <c r="C12" s="67" t="s">
        <v>95</v>
      </c>
      <c r="D12" s="67" t="str">
        <f>'夏日派对10.5w+氪金'!B17</f>
        <v>第4档</v>
      </c>
      <c r="E12" s="67">
        <f>'夏日派对10.5w+氪金'!B8</f>
        <v>300</v>
      </c>
      <c r="F12" s="67">
        <f>'夏日派对10.5w+氪金'!B9</f>
        <v>58</v>
      </c>
      <c r="G12" s="67">
        <f>'夏日派对10.5w+氪金'!B11</f>
        <v>78</v>
      </c>
      <c r="H12" s="68">
        <f>'夏日派对10.5w+氪金'!B15</f>
        <v>16384.090909090912</v>
      </c>
      <c r="I12" s="72">
        <f>'夏日派对10.5w+氪金'!B16</f>
        <v>358.06818181818181</v>
      </c>
      <c r="K12" s="91"/>
      <c r="L12" s="91"/>
      <c r="M12" s="91"/>
      <c r="N12" s="91"/>
      <c r="O12" s="91"/>
      <c r="P12" s="91"/>
      <c r="Q12" s="91"/>
      <c r="R12" s="91"/>
    </row>
    <row r="13" spans="1:21" ht="24" customHeight="1">
      <c r="A13" s="61" t="s">
        <v>111</v>
      </c>
      <c r="B13" s="69" t="s">
        <v>70</v>
      </c>
      <c r="C13" s="67" t="s">
        <v>94</v>
      </c>
      <c r="D13" s="65" t="str">
        <f>'夏日派对10.5w+氪金'!D17</f>
        <v>第3档</v>
      </c>
      <c r="E13" s="65">
        <f>'夏日派对10.5w+氪金'!D8</f>
        <v>0</v>
      </c>
      <c r="F13" s="65">
        <f>'夏日派对10.5w+氪金'!D9</f>
        <v>251</v>
      </c>
      <c r="G13" s="65">
        <f>'夏日派对10.5w+氪金'!D11</f>
        <v>82</v>
      </c>
      <c r="H13" s="66">
        <f>'夏日派对10.5w+氪金'!D15</f>
        <v>16384.090909090912</v>
      </c>
      <c r="I13" s="70">
        <f>'夏日派对10.5w+氪金'!D16</f>
        <v>501.63818181818181</v>
      </c>
      <c r="K13" s="91"/>
      <c r="L13" s="91"/>
      <c r="M13" s="91"/>
      <c r="N13" s="91"/>
      <c r="O13" s="91"/>
      <c r="P13" s="91"/>
      <c r="Q13" s="91"/>
      <c r="R13" s="91"/>
    </row>
    <row r="14" spans="1:21" ht="24" customHeight="1">
      <c r="A14" s="61" t="s">
        <v>111</v>
      </c>
      <c r="B14" s="69" t="s">
        <v>71</v>
      </c>
      <c r="C14" s="67" t="s">
        <v>94</v>
      </c>
      <c r="D14" s="65" t="str">
        <f>'夏日派对10.5w+氪金'!F17</f>
        <v>第3档</v>
      </c>
      <c r="E14" s="66">
        <f>'夏日派对10.5w+氪金'!F8</f>
        <v>0</v>
      </c>
      <c r="F14" s="66">
        <f>'夏日派对10.5w+氪金'!F9</f>
        <v>444</v>
      </c>
      <c r="G14" s="66">
        <f>'夏日派对10.5w+氪金'!F11</f>
        <v>86</v>
      </c>
      <c r="H14" s="66">
        <f>'夏日派对10.5w+氪金'!F15</f>
        <v>16384.090909090912</v>
      </c>
      <c r="I14" s="70">
        <f>'夏日派对10.5w+氪金'!F16</f>
        <v>645.20818181818186</v>
      </c>
      <c r="K14" s="91"/>
      <c r="L14" s="91"/>
      <c r="M14" s="91"/>
      <c r="N14" s="91"/>
      <c r="O14" s="91"/>
      <c r="P14" s="91"/>
      <c r="Q14" s="91"/>
      <c r="R14" s="91"/>
    </row>
    <row r="15" spans="1:21" ht="24" customHeight="1">
      <c r="A15" s="61" t="s">
        <v>111</v>
      </c>
      <c r="B15" s="69" t="s">
        <v>72</v>
      </c>
      <c r="C15" s="67" t="s">
        <v>94</v>
      </c>
      <c r="D15" s="65" t="str">
        <f>'夏日派对10.5w+氪金'!H17</f>
        <v>第3档</v>
      </c>
      <c r="E15" s="66">
        <f>'夏日派对10.5w+氪金'!H8</f>
        <v>0</v>
      </c>
      <c r="F15" s="66">
        <f>'夏日派对10.5w+氪金'!H9</f>
        <v>637</v>
      </c>
      <c r="G15" s="66">
        <f>'夏日派对10.5w+氪金'!H11</f>
        <v>90</v>
      </c>
      <c r="H15" s="66">
        <f>'夏日派对10.5w+氪金'!H15</f>
        <v>16384.090909090912</v>
      </c>
      <c r="I15" s="70">
        <f>'夏日派对10.5w+氪金'!H16</f>
        <v>788.77818181818179</v>
      </c>
      <c r="K15" s="91"/>
      <c r="L15" s="91"/>
      <c r="M15" s="91"/>
      <c r="N15" s="91"/>
      <c r="O15" s="91"/>
      <c r="P15" s="91"/>
      <c r="Q15" s="91"/>
      <c r="R15" s="91"/>
    </row>
    <row r="16" spans="1:21" ht="24" customHeight="1">
      <c r="B16" s="69" t="s">
        <v>73</v>
      </c>
      <c r="C16" s="65" t="s">
        <v>96</v>
      </c>
      <c r="D16" s="65" t="str">
        <f>'夏日派对10.5w+氪金'!J17</f>
        <v>第3档</v>
      </c>
      <c r="E16" s="65">
        <f>'夏日派对10.5w+氪金'!J8</f>
        <v>186</v>
      </c>
      <c r="F16" s="65">
        <f>'夏日派对10.5w+氪金'!J9</f>
        <v>594</v>
      </c>
      <c r="G16" s="65">
        <f>'夏日派对10.5w+氪金'!J11</f>
        <v>12</v>
      </c>
      <c r="H16" s="66">
        <f>'夏日派对10.5w+氪金'!J15</f>
        <v>26542.227272727276</v>
      </c>
      <c r="I16" s="70">
        <f>'夏日派对10.5w+氪金'!J16</f>
        <v>1933.2604545454544</v>
      </c>
      <c r="K16" s="91"/>
      <c r="L16" s="91"/>
      <c r="M16" s="91"/>
      <c r="N16" s="91"/>
      <c r="O16" s="91"/>
      <c r="P16" s="91"/>
      <c r="Q16" s="91"/>
      <c r="R16" s="91"/>
    </row>
    <row r="17" spans="2:18" ht="24" customHeight="1">
      <c r="B17" s="69" t="s">
        <v>74</v>
      </c>
      <c r="C17" s="65" t="s">
        <v>97</v>
      </c>
      <c r="D17" s="65" t="str">
        <f>'夏日派对10.5w+氪金'!L17</f>
        <v>第2档</v>
      </c>
      <c r="E17" s="65">
        <f>'夏日派对10.5w+氪金'!L8</f>
        <v>54</v>
      </c>
      <c r="F17" s="65">
        <f>'夏日派对10.5w+氪金'!L9</f>
        <v>683</v>
      </c>
      <c r="G17" s="65">
        <f>'夏日派对10.5w+氪金'!L11</f>
        <v>18</v>
      </c>
      <c r="H17" s="66">
        <f>'夏日派对10.5w+氪金'!L15</f>
        <v>29491.36363636364</v>
      </c>
      <c r="I17" s="70">
        <f>'夏日派对10.5w+氪金'!L16</f>
        <v>1979.7127272727271</v>
      </c>
      <c r="K17" s="91"/>
      <c r="L17" s="91"/>
      <c r="M17" s="91"/>
      <c r="N17" s="91"/>
      <c r="O17" s="91"/>
      <c r="P17" s="91"/>
      <c r="Q17" s="91"/>
      <c r="R17" s="91"/>
    </row>
    <row r="18" spans="2:18" ht="38.4" customHeight="1" thickBot="1">
      <c r="B18" s="76" t="s">
        <v>75</v>
      </c>
      <c r="C18" s="77" t="s">
        <v>100</v>
      </c>
      <c r="D18" s="77" t="str">
        <f>'夏日派对10.5w+氪金'!N17</f>
        <v>第2档</v>
      </c>
      <c r="E18" s="77">
        <f>'夏日派对10.5w+氪金'!N8</f>
        <v>826</v>
      </c>
      <c r="F18" s="77">
        <f>'夏日派对10.5w+氪金'!N9</f>
        <v>0</v>
      </c>
      <c r="G18" s="77">
        <f>'夏日派对10.5w+氪金'!N11</f>
        <v>0</v>
      </c>
      <c r="H18" s="78">
        <f>'夏日派对10.5w+氪金'!N15</f>
        <v>71702</v>
      </c>
      <c r="I18" s="88">
        <f>'夏日派对10.5w+氪金'!N16</f>
        <v>2936</v>
      </c>
      <c r="K18" s="91"/>
      <c r="L18" s="91"/>
      <c r="M18" s="91"/>
      <c r="N18" s="91"/>
      <c r="O18" s="91"/>
      <c r="P18" s="91"/>
      <c r="Q18" s="91"/>
      <c r="R18" s="91"/>
    </row>
    <row r="19" spans="2:18" ht="17.399999999999999" customHeight="1" thickTop="1" thickBot="1">
      <c r="B19" s="79"/>
      <c r="C19" s="80"/>
      <c r="D19" s="80"/>
      <c r="E19" s="80"/>
      <c r="F19" s="80"/>
      <c r="G19" s="80"/>
      <c r="H19" s="80"/>
      <c r="I19" s="81"/>
      <c r="K19" s="91"/>
      <c r="L19" s="91"/>
      <c r="M19" s="91"/>
      <c r="N19" s="91"/>
      <c r="O19" s="91"/>
      <c r="P19" s="91"/>
      <c r="Q19" s="91"/>
      <c r="R19" s="91"/>
    </row>
    <row r="20" spans="2:18" ht="18.45" customHeight="1" thickTop="1">
      <c r="B20" s="124" t="s">
        <v>76</v>
      </c>
      <c r="C20" s="125"/>
      <c r="D20" s="125"/>
      <c r="E20" s="125"/>
      <c r="F20" s="125"/>
      <c r="G20" s="125"/>
      <c r="H20" s="125"/>
      <c r="I20" s="126"/>
      <c r="K20" s="91"/>
      <c r="L20" s="91"/>
      <c r="M20" s="91"/>
      <c r="N20" s="91"/>
      <c r="O20" s="91"/>
      <c r="P20" s="91"/>
      <c r="Q20" s="91"/>
      <c r="R20" s="91"/>
    </row>
    <row r="21" spans="2:18" ht="66" customHeight="1" thickBot="1">
      <c r="B21" s="127" t="s">
        <v>112</v>
      </c>
      <c r="C21" s="128"/>
      <c r="D21" s="128"/>
      <c r="E21" s="128"/>
      <c r="F21" s="128"/>
      <c r="G21" s="128"/>
      <c r="H21" s="128"/>
      <c r="I21" s="129"/>
      <c r="K21" s="91"/>
      <c r="L21" s="91"/>
      <c r="M21" s="91"/>
      <c r="N21" s="91"/>
      <c r="O21" s="91"/>
      <c r="P21" s="91"/>
      <c r="Q21" s="91"/>
      <c r="R21" s="91"/>
    </row>
    <row r="22" spans="2:18" ht="34.5" customHeight="1" thickTop="1">
      <c r="B22" s="64"/>
      <c r="C22" s="64"/>
      <c r="D22" s="64"/>
      <c r="E22" s="64"/>
      <c r="F22" s="64"/>
      <c r="G22" s="64"/>
      <c r="H22" s="64"/>
      <c r="I22" s="64"/>
      <c r="K22" s="91"/>
      <c r="L22" s="91"/>
      <c r="M22" s="91"/>
      <c r="N22" s="91"/>
      <c r="O22" s="91"/>
      <c r="P22" s="91"/>
      <c r="Q22" s="91"/>
      <c r="R22" s="91"/>
    </row>
    <row r="23" spans="2:18" ht="12.9" customHeight="1">
      <c r="B23" s="64"/>
      <c r="C23" s="64"/>
      <c r="D23" s="64"/>
      <c r="E23" s="64"/>
      <c r="F23" s="64"/>
      <c r="G23" s="64"/>
      <c r="H23" s="64"/>
      <c r="I23" s="64"/>
      <c r="K23" s="91"/>
      <c r="L23" s="91"/>
      <c r="M23" s="91"/>
      <c r="N23" s="91"/>
      <c r="O23" s="91"/>
      <c r="P23" s="91"/>
      <c r="Q23" s="91"/>
      <c r="R23" s="91"/>
    </row>
    <row r="24" spans="2:18" ht="15.6" customHeight="1">
      <c r="B24" s="62"/>
      <c r="C24" s="62"/>
      <c r="D24" s="62"/>
      <c r="E24" s="62"/>
      <c r="F24" s="62"/>
      <c r="G24" s="62"/>
      <c r="H24" s="62"/>
      <c r="I24" s="62"/>
      <c r="K24" s="91"/>
      <c r="L24" s="91"/>
      <c r="M24" s="91"/>
      <c r="N24" s="91"/>
      <c r="O24" s="91"/>
      <c r="P24" s="91"/>
      <c r="Q24" s="91"/>
      <c r="R24" s="91"/>
    </row>
    <row r="25" spans="2:18" ht="16.2" customHeight="1">
      <c r="B25" s="63"/>
      <c r="C25" s="63"/>
      <c r="D25" s="63"/>
      <c r="E25" s="63"/>
      <c r="F25" s="63"/>
      <c r="G25" s="63"/>
      <c r="H25" s="63"/>
      <c r="I25" s="63"/>
      <c r="K25" s="91"/>
      <c r="L25" s="91"/>
      <c r="M25" s="91"/>
      <c r="N25" s="91"/>
      <c r="O25" s="91"/>
      <c r="P25" s="91"/>
      <c r="Q25" s="91"/>
      <c r="R25" s="91"/>
    </row>
    <row r="26" spans="2:18" ht="15.3" customHeight="1">
      <c r="B26" s="63"/>
      <c r="C26" s="63"/>
      <c r="D26" s="63"/>
      <c r="E26" s="63"/>
      <c r="F26" s="63"/>
      <c r="G26" s="63"/>
      <c r="H26" s="63"/>
      <c r="I26" s="63"/>
      <c r="K26" s="91"/>
      <c r="L26" s="91"/>
      <c r="M26" s="91"/>
      <c r="N26" s="91"/>
      <c r="O26" s="91"/>
      <c r="P26" s="91"/>
      <c r="Q26" s="91"/>
      <c r="R26" s="91"/>
    </row>
    <row r="27" spans="2:18" ht="22.95" customHeight="1">
      <c r="B27" s="63"/>
      <c r="C27" s="63"/>
      <c r="D27" s="63"/>
      <c r="E27" s="63"/>
      <c r="F27" s="63"/>
      <c r="G27" s="63"/>
      <c r="H27" s="63"/>
      <c r="I27" s="63"/>
      <c r="K27" s="91"/>
      <c r="L27" s="91"/>
      <c r="M27" s="91"/>
      <c r="N27" s="91"/>
      <c r="O27" s="91"/>
      <c r="P27" s="91"/>
      <c r="Q27" s="91"/>
      <c r="R27" s="91"/>
    </row>
    <row r="28" spans="2:18" ht="22.95" customHeight="1">
      <c r="K28" s="91"/>
      <c r="L28" s="91"/>
      <c r="M28" s="91"/>
      <c r="N28" s="91"/>
      <c r="O28" s="91"/>
      <c r="P28" s="91"/>
      <c r="Q28" s="91"/>
      <c r="R28" s="91"/>
    </row>
    <row r="29" spans="2:18" ht="22.95" customHeight="1">
      <c r="K29" s="91"/>
      <c r="L29" s="91"/>
      <c r="M29" s="91"/>
      <c r="N29" s="91"/>
      <c r="O29" s="91"/>
      <c r="P29" s="91"/>
      <c r="Q29" s="91"/>
      <c r="R29" s="91"/>
    </row>
    <row r="30" spans="2:18" ht="15.6" customHeight="1">
      <c r="K30" s="91"/>
      <c r="L30" s="91"/>
      <c r="M30" s="91"/>
      <c r="N30" s="91"/>
      <c r="O30" s="91"/>
      <c r="P30" s="91"/>
      <c r="Q30" s="91"/>
      <c r="R30" s="91"/>
    </row>
    <row r="31" spans="2:18" ht="20.55" customHeight="1">
      <c r="K31" s="91"/>
      <c r="L31" s="91"/>
      <c r="M31" s="91"/>
      <c r="N31" s="91"/>
      <c r="O31" s="91"/>
      <c r="P31" s="91"/>
      <c r="Q31" s="91"/>
      <c r="R31" s="91"/>
    </row>
    <row r="32" spans="2:18" ht="15.6" customHeight="1">
      <c r="K32" s="91"/>
      <c r="L32" s="91"/>
      <c r="M32" s="91"/>
      <c r="N32" s="91"/>
      <c r="O32" s="91"/>
      <c r="P32" s="91"/>
      <c r="Q32" s="91"/>
      <c r="R32" s="91"/>
    </row>
    <row r="33" ht="17.850000000000001" customHeight="1"/>
  </sheetData>
  <mergeCells count="10">
    <mergeCell ref="B8:I9"/>
    <mergeCell ref="B20:I20"/>
    <mergeCell ref="B21:I21"/>
    <mergeCell ref="B2:I2"/>
    <mergeCell ref="B4:C5"/>
    <mergeCell ref="D4:F5"/>
    <mergeCell ref="G4:I5"/>
    <mergeCell ref="B6:C6"/>
    <mergeCell ref="D6:F6"/>
    <mergeCell ref="G6:I6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28</vt:i4>
      </vt:variant>
    </vt:vector>
  </HeadingPairs>
  <TitlesOfParts>
    <vt:vector size="38" baseType="lpstr">
      <vt:lpstr>氪金转盘</vt:lpstr>
      <vt:lpstr>基础计算设置</vt:lpstr>
      <vt:lpstr>夏日派对10.5w</vt:lpstr>
      <vt:lpstr>10.5w钻攻略图</vt:lpstr>
      <vt:lpstr>夏日派对4.5w</vt:lpstr>
      <vt:lpstr>4.5w钻攻略图</vt:lpstr>
      <vt:lpstr>夏日派对1.5w</vt:lpstr>
      <vt:lpstr>1.5w钻攻略图</vt:lpstr>
      <vt:lpstr>夏日派对10.5w+氪金</vt:lpstr>
      <vt:lpstr>2超越核心氪金攻略图</vt:lpstr>
      <vt:lpstr>抽奖道具</vt:lpstr>
      <vt:lpstr>抽奖积分</vt:lpstr>
      <vt:lpstr>档位积分1</vt:lpstr>
      <vt:lpstr>档位积分2</vt:lpstr>
      <vt:lpstr>档位积分3</vt:lpstr>
      <vt:lpstr>档位积分4</vt:lpstr>
      <vt:lpstr>档位积分5</vt:lpstr>
      <vt:lpstr>档位奖励1</vt:lpstr>
      <vt:lpstr>档位奖励2</vt:lpstr>
      <vt:lpstr>档位奖励3</vt:lpstr>
      <vt:lpstr>档位奖励4</vt:lpstr>
      <vt:lpstr>档位奖励5</vt:lpstr>
      <vt:lpstr>第1档</vt:lpstr>
      <vt:lpstr>第5档</vt:lpstr>
      <vt:lpstr>翡翠100</vt:lpstr>
      <vt:lpstr>翡翠10000</vt:lpstr>
      <vt:lpstr>高级兑换道具</vt:lpstr>
      <vt:lpstr>积分规则1</vt:lpstr>
      <vt:lpstr>积分规则2</vt:lpstr>
      <vt:lpstr>价格6</vt:lpstr>
      <vt:lpstr>价格648</vt:lpstr>
      <vt:lpstr>普通兑换道具</vt:lpstr>
      <vt:lpstr>实测高级道具</vt:lpstr>
      <vt:lpstr>实测普通道具</vt:lpstr>
      <vt:lpstr>随机箱高级道具</vt:lpstr>
      <vt:lpstr>随机箱积分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2026-08-12T15:18:34Z</dcterms:modified>
</cp:coreProperties>
</file>