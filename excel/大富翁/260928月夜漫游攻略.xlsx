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卡皮模拟\攻略图生成器\excel\"/>
    </mc:Choice>
  </mc:AlternateContent>
  <xr:revisionPtr revIDLastSave="0" documentId="13_ncr:1_{8E601C78-8909-4231-8811-3F7CA7AA103B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兑换列表" sheetId="14" r:id="rId1"/>
    <sheet name="基础计算设置" sheetId="2" r:id="rId2"/>
    <sheet name="420桂香糕" sheetId="20" r:id="rId3"/>
    <sheet name="550桂香糕" sheetId="19" r:id="rId4"/>
    <sheet name="4.9w钻" sheetId="3" r:id="rId5"/>
    <sheet name="1秘宝" sheetId="15" r:id="rId6"/>
    <sheet name="1秘宝+1藏品" sheetId="16" r:id="rId7"/>
    <sheet name="2秘宝" sheetId="17" r:id="rId8"/>
    <sheet name="2秘宝+1藏品" sheetId="21" r:id="rId9"/>
  </sheets>
  <definedNames>
    <definedName name="抽奖道具" localSheetId="0">基础计算设置!$B$1</definedName>
    <definedName name="抽奖道具">基础计算设置!$B$1</definedName>
    <definedName name="抽奖道具礼包1">基础计算设置!$P$2</definedName>
    <definedName name="抽奖道具礼包2">基础计算设置!$P$3</definedName>
    <definedName name="抽奖道具礼包3">基础计算设置!$P$4</definedName>
    <definedName name="抽奖道具礼包4">基础计算设置!$P$5</definedName>
    <definedName name="抽奖道具礼包5">基础计算设置!$P$6</definedName>
    <definedName name="抽奖道具礼包6">基础计算设置!$P$7</definedName>
    <definedName name="抽奖道具礼包7">基础计算设置!$P$8</definedName>
    <definedName name="抽奖道具礼包道具数">基础计算设置!$P$2:$P$8</definedName>
    <definedName name="抽奖道具礼包翡翠">基础计算设置!$N$2:$N$8</definedName>
    <definedName name="抽奖道具礼包价格">基础计算设置!$M$2:$M$8</definedName>
    <definedName name="档位积分1" localSheetId="0">基础计算设置!$B$6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 localSheetId="0">基础计算设置!$B$10</definedName>
    <definedName name="档位积分5">基础计算设置!$B$10</definedName>
    <definedName name="档位奖励1" localSheetId="0">基础计算设置!$C$6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 localSheetId="0">基础计算设置!$C$10</definedName>
    <definedName name="档位奖励5">基础计算设置!$C$10</definedName>
    <definedName name="第1档" localSheetId="0">基础计算设置!$A$6</definedName>
    <definedName name="第1档">基础计算设置!$A$6</definedName>
    <definedName name="第5档" localSheetId="0">基础计算设置!$A$10</definedName>
    <definedName name="第5档">基础计算设置!$A$10</definedName>
    <definedName name="翡翠100" localSheetId="0">基础计算设置!$B$29</definedName>
    <definedName name="翡翠100">基础计算设置!$T$2</definedName>
    <definedName name="翡翠10000" localSheetId="0">基础计算设置!$B$36</definedName>
    <definedName name="翡翠10000">基础计算设置!$T$9</definedName>
    <definedName name="高级兑换道具" localSheetId="0">基础计算设置!$B$3</definedName>
    <definedName name="高级兑换道具">基础计算设置!$B$3</definedName>
    <definedName name="高级兑换道具抽奖期望" localSheetId="0">基础计算设置!$I$4</definedName>
    <definedName name="高级兑换道具抽奖期望">基础计算设置!$H$4</definedName>
    <definedName name="高级兑换道具礼包1">基础计算设置!$P$11</definedName>
    <definedName name="高级兑换道具礼包2">基础计算设置!$P$12</definedName>
    <definedName name="高级兑换道具礼包3">基础计算设置!$P$13</definedName>
    <definedName name="高级兑换道具礼包4">基础计算设置!$P$14</definedName>
    <definedName name="高级兑换道具礼包道具数">基础计算设置!$P$11:$P$14</definedName>
    <definedName name="高级兑换道具礼包翡翠">基础计算设置!$N$11:$N$14</definedName>
    <definedName name="高级兑换道具礼包价格">基础计算设置!$M$11:$M$14</definedName>
    <definedName name="积分规则1" localSheetId="0">基础计算设置!$B$13</definedName>
    <definedName name="积分规则1">基础计算设置!$B$13</definedName>
    <definedName name="积分规则2" localSheetId="0">基础计算设置!$B$14</definedName>
    <definedName name="积分规则2">基础计算设置!$B$14</definedName>
    <definedName name="积分规则3" localSheetId="0">基础计算设置!$I$5</definedName>
    <definedName name="积分规则3">基础计算设置!$H$5</definedName>
    <definedName name="价格6" localSheetId="0">基础计算设置!$A$29</definedName>
    <definedName name="价格6">基础计算设置!$S$2</definedName>
    <definedName name="价格648" localSheetId="0">基础计算设置!$A$36</definedName>
    <definedName name="价格648">基础计算设置!$S$9</definedName>
    <definedName name="氪金基金抽奖道具">基础计算设置!$P$18</definedName>
    <definedName name="氪金基金翡翠">基础计算设置!$N$18</definedName>
    <definedName name="氪金基金价格">基础计算设置!$M$18</definedName>
    <definedName name="氪金基金随机箱">基础计算设置!$Q$18</definedName>
    <definedName name="每日广告抽奖道具数量">基础计算设置!$F$19</definedName>
    <definedName name="每日任务抽奖道具数量">基础计算设置!$F$18</definedName>
    <definedName name="免费基金抽奖道具">基础计算设置!$P$17</definedName>
    <definedName name="免费基金随机箱">基础计算设置!$Q$17</definedName>
    <definedName name="普通兑换道具" localSheetId="0">基础计算设置!$B$2</definedName>
    <definedName name="普通兑换道具">基础计算设置!$B$2</definedName>
    <definedName name="普通兑换道具抽奖期望" localSheetId="0">基础计算设置!$I$3</definedName>
    <definedName name="普通兑换道具抽奖期望">基础计算设置!$H$3</definedName>
    <definedName name="随机箱高级道具期望" localSheetId="0">基础计算设置!$C$26</definedName>
    <definedName name="随机箱高级道具期望">基础计算设置!$C$26</definedName>
    <definedName name="随机箱积分" localSheetId="0">基础计算设置!$D$26</definedName>
    <definedName name="随机箱积分">基础计算设置!$D$26</definedName>
    <definedName name="钻石购买" localSheetId="0">基础计算设置!$B$18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O42" i="21" l="1"/>
  <c r="M42" i="21"/>
  <c r="K42" i="21"/>
  <c r="I42" i="21"/>
  <c r="G42" i="21"/>
  <c r="E42" i="21"/>
  <c r="C42" i="21"/>
  <c r="B42" i="21"/>
  <c r="O41" i="21"/>
  <c r="M41" i="21"/>
  <c r="K41" i="21"/>
  <c r="I41" i="21"/>
  <c r="G41" i="21"/>
  <c r="E41" i="21"/>
  <c r="C41" i="21"/>
  <c r="B41" i="21"/>
  <c r="O40" i="21"/>
  <c r="M40" i="21"/>
  <c r="K40" i="21"/>
  <c r="I40" i="21"/>
  <c r="G40" i="21"/>
  <c r="E40" i="21"/>
  <c r="C40" i="21"/>
  <c r="B40" i="21"/>
  <c r="O39" i="21"/>
  <c r="M39" i="21"/>
  <c r="K39" i="21"/>
  <c r="I39" i="21"/>
  <c r="G39" i="21"/>
  <c r="E39" i="21"/>
  <c r="C39" i="21"/>
  <c r="B39" i="21"/>
  <c r="O38" i="21"/>
  <c r="M38" i="21"/>
  <c r="K38" i="21"/>
  <c r="I38" i="21"/>
  <c r="G38" i="21"/>
  <c r="E38" i="21"/>
  <c r="C38" i="21"/>
  <c r="O37" i="21"/>
  <c r="M37" i="21"/>
  <c r="K37" i="21"/>
  <c r="I37" i="21"/>
  <c r="G37" i="21"/>
  <c r="E37" i="21"/>
  <c r="C37" i="21"/>
  <c r="B37" i="21"/>
  <c r="O36" i="21"/>
  <c r="M36" i="21"/>
  <c r="K36" i="21"/>
  <c r="I36" i="21"/>
  <c r="G36" i="21"/>
  <c r="E36" i="21"/>
  <c r="C36" i="21"/>
  <c r="B36" i="21"/>
  <c r="O35" i="21"/>
  <c r="M35" i="21"/>
  <c r="K35" i="21"/>
  <c r="I35" i="21"/>
  <c r="G35" i="21"/>
  <c r="E35" i="21"/>
  <c r="C35" i="21"/>
  <c r="B35" i="21"/>
  <c r="O34" i="21"/>
  <c r="M34" i="21"/>
  <c r="K34" i="21"/>
  <c r="I34" i="21"/>
  <c r="G34" i="21"/>
  <c r="E34" i="21"/>
  <c r="C34" i="21"/>
  <c r="B34" i="21"/>
  <c r="O33" i="21"/>
  <c r="M33" i="21"/>
  <c r="K33" i="21"/>
  <c r="I33" i="21"/>
  <c r="G33" i="21"/>
  <c r="E33" i="21"/>
  <c r="C33" i="21"/>
  <c r="B33" i="21"/>
  <c r="O32" i="21"/>
  <c r="M32" i="21"/>
  <c r="K32" i="21"/>
  <c r="I32" i="21"/>
  <c r="G32" i="21"/>
  <c r="E32" i="21"/>
  <c r="C32" i="21"/>
  <c r="B32" i="21"/>
  <c r="O31" i="21"/>
  <c r="M31" i="21"/>
  <c r="K31" i="21"/>
  <c r="I31" i="21"/>
  <c r="G31" i="21"/>
  <c r="E31" i="21"/>
  <c r="C31" i="21"/>
  <c r="B31" i="21"/>
  <c r="O30" i="21"/>
  <c r="B29" i="21"/>
  <c r="C28" i="21"/>
  <c r="E28" i="21" s="1"/>
  <c r="G28" i="21" s="1"/>
  <c r="I28" i="21" s="1"/>
  <c r="K28" i="21" s="1"/>
  <c r="M28" i="21" s="1"/>
  <c r="O28" i="21" s="1"/>
  <c r="B28" i="21"/>
  <c r="B26" i="21"/>
  <c r="O22" i="21"/>
  <c r="P22" i="21" s="1"/>
  <c r="N22" i="21"/>
  <c r="M22" i="21"/>
  <c r="L22" i="21"/>
  <c r="K22" i="21"/>
  <c r="I22" i="21"/>
  <c r="J22" i="21" s="1"/>
  <c r="H22" i="21"/>
  <c r="G22" i="21"/>
  <c r="E22" i="21"/>
  <c r="F22" i="21" s="1"/>
  <c r="D22" i="21"/>
  <c r="C22" i="21"/>
  <c r="C29" i="21" s="1"/>
  <c r="B22" i="21"/>
  <c r="P21" i="21"/>
  <c r="N21" i="21"/>
  <c r="L21" i="21"/>
  <c r="J21" i="21"/>
  <c r="H21" i="21"/>
  <c r="F21" i="21"/>
  <c r="D21" i="21"/>
  <c r="B21" i="21"/>
  <c r="B18" i="21"/>
  <c r="P17" i="21"/>
  <c r="N17" i="21"/>
  <c r="L17" i="21"/>
  <c r="J17" i="21"/>
  <c r="H17" i="21"/>
  <c r="F17" i="21"/>
  <c r="D17" i="21"/>
  <c r="B17" i="21"/>
  <c r="P16" i="21"/>
  <c r="O16" i="21"/>
  <c r="N16" i="21"/>
  <c r="M16" i="21"/>
  <c r="K16" i="21"/>
  <c r="L16" i="21" s="1"/>
  <c r="I16" i="21"/>
  <c r="J16" i="21" s="1"/>
  <c r="H16" i="21"/>
  <c r="G16" i="21"/>
  <c r="F16" i="21"/>
  <c r="E16" i="21"/>
  <c r="C16" i="21"/>
  <c r="D16" i="21" s="1"/>
  <c r="O15" i="21"/>
  <c r="P15" i="21" s="1"/>
  <c r="M15" i="21"/>
  <c r="N15" i="21" s="1"/>
  <c r="K15" i="21"/>
  <c r="L15" i="21" s="1"/>
  <c r="I15" i="21"/>
  <c r="J15" i="21" s="1"/>
  <c r="G15" i="21"/>
  <c r="H15" i="21" s="1"/>
  <c r="E15" i="21"/>
  <c r="F15" i="21" s="1"/>
  <c r="C15" i="21"/>
  <c r="D15" i="21" s="1"/>
  <c r="P14" i="21"/>
  <c r="N14" i="21"/>
  <c r="L14" i="21"/>
  <c r="J14" i="21"/>
  <c r="H14" i="21"/>
  <c r="F14" i="21"/>
  <c r="D14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P12" i="21"/>
  <c r="N12" i="21"/>
  <c r="L12" i="21"/>
  <c r="J12" i="21"/>
  <c r="H12" i="21"/>
  <c r="F12" i="21"/>
  <c r="D12" i="21"/>
  <c r="O11" i="21"/>
  <c r="P11" i="21" s="1"/>
  <c r="M11" i="21"/>
  <c r="N11" i="21" s="1"/>
  <c r="K11" i="21"/>
  <c r="L11" i="21" s="1"/>
  <c r="I11" i="21"/>
  <c r="J11" i="21" s="1"/>
  <c r="G11" i="21"/>
  <c r="H11" i="21" s="1"/>
  <c r="E11" i="21"/>
  <c r="F11" i="21" s="1"/>
  <c r="C11" i="21"/>
  <c r="D11" i="21" s="1"/>
  <c r="P10" i="21"/>
  <c r="N10" i="21"/>
  <c r="L10" i="21"/>
  <c r="J10" i="21"/>
  <c r="H10" i="21"/>
  <c r="F10" i="21"/>
  <c r="D10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C26" i="21" s="1"/>
  <c r="P8" i="21"/>
  <c r="N8" i="21"/>
  <c r="L8" i="21"/>
  <c r="J8" i="21"/>
  <c r="H8" i="21"/>
  <c r="F8" i="21"/>
  <c r="D8" i="21"/>
  <c r="O7" i="21"/>
  <c r="M7" i="21"/>
  <c r="M30" i="21" s="1"/>
  <c r="K7" i="21"/>
  <c r="K30" i="21" s="1"/>
  <c r="I7" i="21"/>
  <c r="I30" i="21" s="1"/>
  <c r="G7" i="21"/>
  <c r="G30" i="21" s="1"/>
  <c r="E7" i="21"/>
  <c r="E30" i="21" s="1"/>
  <c r="C7" i="21"/>
  <c r="C30" i="21" s="1"/>
  <c r="I3" i="21"/>
  <c r="C3" i="21"/>
  <c r="N11" i="19"/>
  <c r="P11" i="19"/>
  <c r="O42" i="20"/>
  <c r="M42" i="20"/>
  <c r="K42" i="20"/>
  <c r="I42" i="20"/>
  <c r="G42" i="20"/>
  <c r="E42" i="20"/>
  <c r="C42" i="20"/>
  <c r="B42" i="20"/>
  <c r="O41" i="20"/>
  <c r="M41" i="20"/>
  <c r="K41" i="20"/>
  <c r="I41" i="20"/>
  <c r="G41" i="20"/>
  <c r="E41" i="20"/>
  <c r="C41" i="20"/>
  <c r="B41" i="20"/>
  <c r="O40" i="20"/>
  <c r="M40" i="20"/>
  <c r="K40" i="20"/>
  <c r="I40" i="20"/>
  <c r="G40" i="20"/>
  <c r="E40" i="20"/>
  <c r="C40" i="20"/>
  <c r="B40" i="20"/>
  <c r="O39" i="20"/>
  <c r="M39" i="20"/>
  <c r="K39" i="20"/>
  <c r="I39" i="20"/>
  <c r="G39" i="20"/>
  <c r="E39" i="20"/>
  <c r="C39" i="20"/>
  <c r="B39" i="20"/>
  <c r="O38" i="20"/>
  <c r="M38" i="20"/>
  <c r="K38" i="20"/>
  <c r="I38" i="20"/>
  <c r="G38" i="20"/>
  <c r="E38" i="20"/>
  <c r="C38" i="20"/>
  <c r="O37" i="20"/>
  <c r="M37" i="20"/>
  <c r="K37" i="20"/>
  <c r="I37" i="20"/>
  <c r="G37" i="20"/>
  <c r="E37" i="20"/>
  <c r="C37" i="20"/>
  <c r="B37" i="20"/>
  <c r="O36" i="20"/>
  <c r="M36" i="20"/>
  <c r="K36" i="20"/>
  <c r="I36" i="20"/>
  <c r="G36" i="20"/>
  <c r="E36" i="20"/>
  <c r="C36" i="20"/>
  <c r="B36" i="20"/>
  <c r="O35" i="20"/>
  <c r="M35" i="20"/>
  <c r="K35" i="20"/>
  <c r="I35" i="20"/>
  <c r="G35" i="20"/>
  <c r="E35" i="20"/>
  <c r="C35" i="20"/>
  <c r="B35" i="20"/>
  <c r="O34" i="20"/>
  <c r="M34" i="20"/>
  <c r="K34" i="20"/>
  <c r="I34" i="20"/>
  <c r="G34" i="20"/>
  <c r="E34" i="20"/>
  <c r="C34" i="20"/>
  <c r="B34" i="20"/>
  <c r="O33" i="20"/>
  <c r="M33" i="20"/>
  <c r="K33" i="20"/>
  <c r="I33" i="20"/>
  <c r="G33" i="20"/>
  <c r="E33" i="20"/>
  <c r="C33" i="20"/>
  <c r="B33" i="20"/>
  <c r="O32" i="20"/>
  <c r="M32" i="20"/>
  <c r="K32" i="20"/>
  <c r="I32" i="20"/>
  <c r="G32" i="20"/>
  <c r="E32" i="20"/>
  <c r="C32" i="20"/>
  <c r="B32" i="20"/>
  <c r="O31" i="20"/>
  <c r="M31" i="20"/>
  <c r="K31" i="20"/>
  <c r="I31" i="20"/>
  <c r="G31" i="20"/>
  <c r="E31" i="20"/>
  <c r="C31" i="20"/>
  <c r="B31" i="20"/>
  <c r="B29" i="20"/>
  <c r="C28" i="20"/>
  <c r="E28" i="20" s="1"/>
  <c r="G28" i="20" s="1"/>
  <c r="I28" i="20" s="1"/>
  <c r="K28" i="20" s="1"/>
  <c r="M28" i="20" s="1"/>
  <c r="O28" i="20" s="1"/>
  <c r="B28" i="20"/>
  <c r="B26" i="20"/>
  <c r="P22" i="20"/>
  <c r="O22" i="20"/>
  <c r="M22" i="20"/>
  <c r="N22" i="20" s="1"/>
  <c r="K22" i="20"/>
  <c r="L22" i="20" s="1"/>
  <c r="I22" i="20"/>
  <c r="G22" i="20"/>
  <c r="H22" i="20" s="1"/>
  <c r="E22" i="20"/>
  <c r="F22" i="20" s="1"/>
  <c r="C22" i="20"/>
  <c r="D22" i="20" s="1"/>
  <c r="B22" i="20"/>
  <c r="P21" i="20"/>
  <c r="N21" i="20"/>
  <c r="L21" i="20"/>
  <c r="J21" i="20"/>
  <c r="H21" i="20"/>
  <c r="F21" i="20"/>
  <c r="D21" i="20"/>
  <c r="B21" i="20"/>
  <c r="B18" i="20"/>
  <c r="P17" i="20"/>
  <c r="N17" i="20"/>
  <c r="L17" i="20"/>
  <c r="J17" i="20"/>
  <c r="H17" i="20"/>
  <c r="F17" i="20"/>
  <c r="D17" i="20"/>
  <c r="B17" i="20"/>
  <c r="O16" i="20"/>
  <c r="P16" i="20" s="1"/>
  <c r="M16" i="20"/>
  <c r="N16" i="20" s="1"/>
  <c r="K16" i="20"/>
  <c r="L16" i="20" s="1"/>
  <c r="J16" i="20"/>
  <c r="I16" i="20"/>
  <c r="H16" i="20"/>
  <c r="G16" i="20"/>
  <c r="F16" i="20"/>
  <c r="E16" i="20"/>
  <c r="C16" i="20"/>
  <c r="D16" i="20" s="1"/>
  <c r="O15" i="20"/>
  <c r="P15" i="20" s="1"/>
  <c r="M15" i="20"/>
  <c r="N15" i="20" s="1"/>
  <c r="K15" i="20"/>
  <c r="L15" i="20" s="1"/>
  <c r="I15" i="20"/>
  <c r="J15" i="20" s="1"/>
  <c r="H15" i="20"/>
  <c r="G15" i="20"/>
  <c r="F15" i="20"/>
  <c r="E15" i="20"/>
  <c r="D15" i="20"/>
  <c r="C15" i="20"/>
  <c r="P14" i="20"/>
  <c r="N14" i="20"/>
  <c r="L14" i="20"/>
  <c r="J14" i="20"/>
  <c r="H14" i="20"/>
  <c r="F14" i="20"/>
  <c r="D14" i="20"/>
  <c r="O13" i="20"/>
  <c r="P13" i="20" s="1"/>
  <c r="M13" i="20"/>
  <c r="N13" i="20" s="1"/>
  <c r="K13" i="20"/>
  <c r="L13" i="20" s="1"/>
  <c r="I13" i="20"/>
  <c r="J13" i="20" s="1"/>
  <c r="G13" i="20"/>
  <c r="H13" i="20" s="1"/>
  <c r="E13" i="20"/>
  <c r="F13" i="20" s="1"/>
  <c r="C13" i="20"/>
  <c r="D13" i="20" s="1"/>
  <c r="P12" i="20"/>
  <c r="N12" i="20"/>
  <c r="L12" i="20"/>
  <c r="J12" i="20"/>
  <c r="H12" i="20"/>
  <c r="F12" i="20"/>
  <c r="D12" i="20"/>
  <c r="O11" i="20"/>
  <c r="P11" i="20" s="1"/>
  <c r="N11" i="20"/>
  <c r="M11" i="20"/>
  <c r="K11" i="20"/>
  <c r="L11" i="20" s="1"/>
  <c r="I11" i="20"/>
  <c r="J11" i="20" s="1"/>
  <c r="G11" i="20"/>
  <c r="H11" i="20" s="1"/>
  <c r="E11" i="20"/>
  <c r="F11" i="20" s="1"/>
  <c r="C11" i="20"/>
  <c r="D11" i="20" s="1"/>
  <c r="P10" i="20"/>
  <c r="N10" i="20"/>
  <c r="L10" i="20"/>
  <c r="J10" i="20"/>
  <c r="H10" i="20"/>
  <c r="F10" i="20"/>
  <c r="D10" i="20"/>
  <c r="O9" i="20"/>
  <c r="P9" i="20" s="1"/>
  <c r="M9" i="20"/>
  <c r="N9" i="20" s="1"/>
  <c r="K9" i="20"/>
  <c r="L9" i="20" s="1"/>
  <c r="I9" i="20"/>
  <c r="J9" i="20" s="1"/>
  <c r="G9" i="20"/>
  <c r="H9" i="20" s="1"/>
  <c r="E9" i="20"/>
  <c r="F9" i="20" s="1"/>
  <c r="C9" i="20"/>
  <c r="C26" i="20" s="1"/>
  <c r="P8" i="20"/>
  <c r="N8" i="20"/>
  <c r="L8" i="20"/>
  <c r="J8" i="20"/>
  <c r="H8" i="20"/>
  <c r="F8" i="20"/>
  <c r="D8" i="20"/>
  <c r="O7" i="20"/>
  <c r="O30" i="20" s="1"/>
  <c r="M7" i="20"/>
  <c r="M30" i="20" s="1"/>
  <c r="K7" i="20"/>
  <c r="K30" i="20" s="1"/>
  <c r="I7" i="20"/>
  <c r="I30" i="20" s="1"/>
  <c r="G7" i="20"/>
  <c r="G30" i="20" s="1"/>
  <c r="E7" i="20"/>
  <c r="E30" i="20" s="1"/>
  <c r="C7" i="20"/>
  <c r="C30" i="20" s="1"/>
  <c r="I3" i="20"/>
  <c r="C3" i="20"/>
  <c r="O42" i="19"/>
  <c r="M42" i="19"/>
  <c r="K42" i="19"/>
  <c r="I42" i="19"/>
  <c r="G42" i="19"/>
  <c r="E42" i="19"/>
  <c r="C42" i="19"/>
  <c r="B42" i="19"/>
  <c r="O41" i="19"/>
  <c r="M41" i="19"/>
  <c r="K41" i="19"/>
  <c r="I41" i="19"/>
  <c r="G41" i="19"/>
  <c r="E41" i="19"/>
  <c r="C41" i="19"/>
  <c r="B41" i="19"/>
  <c r="O40" i="19"/>
  <c r="M40" i="19"/>
  <c r="K40" i="19"/>
  <c r="I40" i="19"/>
  <c r="G40" i="19"/>
  <c r="E40" i="19"/>
  <c r="C40" i="19"/>
  <c r="B40" i="19"/>
  <c r="O39" i="19"/>
  <c r="M39" i="19"/>
  <c r="K39" i="19"/>
  <c r="I39" i="19"/>
  <c r="G39" i="19"/>
  <c r="E39" i="19"/>
  <c r="C39" i="19"/>
  <c r="B39" i="19"/>
  <c r="O38" i="19"/>
  <c r="M38" i="19"/>
  <c r="K38" i="19"/>
  <c r="I38" i="19"/>
  <c r="G38" i="19"/>
  <c r="E38" i="19"/>
  <c r="C38" i="19"/>
  <c r="O37" i="19"/>
  <c r="M37" i="19"/>
  <c r="K37" i="19"/>
  <c r="I37" i="19"/>
  <c r="G37" i="19"/>
  <c r="E37" i="19"/>
  <c r="C37" i="19"/>
  <c r="B37" i="19"/>
  <c r="O36" i="19"/>
  <c r="M36" i="19"/>
  <c r="K36" i="19"/>
  <c r="I36" i="19"/>
  <c r="G36" i="19"/>
  <c r="E36" i="19"/>
  <c r="C36" i="19"/>
  <c r="B36" i="19"/>
  <c r="O35" i="19"/>
  <c r="M35" i="19"/>
  <c r="K35" i="19"/>
  <c r="I35" i="19"/>
  <c r="G35" i="19"/>
  <c r="E35" i="19"/>
  <c r="C35" i="19"/>
  <c r="B35" i="19"/>
  <c r="O34" i="19"/>
  <c r="M34" i="19"/>
  <c r="K34" i="19"/>
  <c r="I34" i="19"/>
  <c r="G34" i="19"/>
  <c r="E34" i="19"/>
  <c r="C34" i="19"/>
  <c r="B34" i="19"/>
  <c r="O33" i="19"/>
  <c r="M33" i="19"/>
  <c r="K33" i="19"/>
  <c r="I33" i="19"/>
  <c r="G33" i="19"/>
  <c r="E33" i="19"/>
  <c r="C33" i="19"/>
  <c r="B33" i="19"/>
  <c r="O32" i="19"/>
  <c r="M32" i="19"/>
  <c r="K32" i="19"/>
  <c r="I32" i="19"/>
  <c r="G32" i="19"/>
  <c r="E32" i="19"/>
  <c r="C32" i="19"/>
  <c r="B32" i="19"/>
  <c r="O31" i="19"/>
  <c r="M31" i="19"/>
  <c r="K31" i="19"/>
  <c r="I31" i="19"/>
  <c r="G31" i="19"/>
  <c r="E31" i="19"/>
  <c r="C31" i="19"/>
  <c r="B31" i="19"/>
  <c r="C30" i="19"/>
  <c r="B29" i="19"/>
  <c r="C28" i="19"/>
  <c r="E28" i="19" s="1"/>
  <c r="G28" i="19" s="1"/>
  <c r="I28" i="19" s="1"/>
  <c r="K28" i="19" s="1"/>
  <c r="M28" i="19" s="1"/>
  <c r="O28" i="19" s="1"/>
  <c r="B28" i="19"/>
  <c r="B26" i="19"/>
  <c r="O22" i="19"/>
  <c r="P22" i="19" s="1"/>
  <c r="M22" i="19"/>
  <c r="N22" i="19" s="1"/>
  <c r="K22" i="19"/>
  <c r="I22" i="19"/>
  <c r="G22" i="19"/>
  <c r="H22" i="19" s="1"/>
  <c r="E22" i="19"/>
  <c r="F22" i="19" s="1"/>
  <c r="C22" i="19"/>
  <c r="D22" i="19" s="1"/>
  <c r="B22" i="19"/>
  <c r="P21" i="19"/>
  <c r="N21" i="19"/>
  <c r="L21" i="19"/>
  <c r="J21" i="19"/>
  <c r="H21" i="19"/>
  <c r="F21" i="19"/>
  <c r="D21" i="19"/>
  <c r="B21" i="19"/>
  <c r="B18" i="19"/>
  <c r="P17" i="19"/>
  <c r="N17" i="19"/>
  <c r="L17" i="19"/>
  <c r="J17" i="19"/>
  <c r="H17" i="19"/>
  <c r="F17" i="19"/>
  <c r="D17" i="19"/>
  <c r="B17" i="19"/>
  <c r="O16" i="19"/>
  <c r="P16" i="19" s="1"/>
  <c r="M16" i="19"/>
  <c r="N16" i="19" s="1"/>
  <c r="K16" i="19"/>
  <c r="L16" i="19" s="1"/>
  <c r="I16" i="19"/>
  <c r="J16" i="19" s="1"/>
  <c r="G16" i="19"/>
  <c r="H16" i="19" s="1"/>
  <c r="E16" i="19"/>
  <c r="F16" i="19" s="1"/>
  <c r="C16" i="19"/>
  <c r="D16" i="19" s="1"/>
  <c r="O15" i="19"/>
  <c r="P15" i="19" s="1"/>
  <c r="M15" i="19"/>
  <c r="N15" i="19" s="1"/>
  <c r="K15" i="19"/>
  <c r="L15" i="19" s="1"/>
  <c r="I15" i="19"/>
  <c r="J15" i="19" s="1"/>
  <c r="G15" i="19"/>
  <c r="H15" i="19" s="1"/>
  <c r="F15" i="19"/>
  <c r="E15" i="19"/>
  <c r="C15" i="19"/>
  <c r="D15" i="19" s="1"/>
  <c r="P14" i="19"/>
  <c r="N14" i="19"/>
  <c r="L14" i="19"/>
  <c r="J14" i="19"/>
  <c r="H14" i="19"/>
  <c r="F14" i="19"/>
  <c r="D14" i="19"/>
  <c r="O13" i="19"/>
  <c r="P13" i="19" s="1"/>
  <c r="M13" i="19"/>
  <c r="N13" i="19" s="1"/>
  <c r="K13" i="19"/>
  <c r="L13" i="19" s="1"/>
  <c r="I13" i="19"/>
  <c r="J13" i="19" s="1"/>
  <c r="G13" i="19"/>
  <c r="H13" i="19" s="1"/>
  <c r="E13" i="19"/>
  <c r="F13" i="19" s="1"/>
  <c r="C13" i="19"/>
  <c r="D13" i="19" s="1"/>
  <c r="P12" i="19"/>
  <c r="N12" i="19"/>
  <c r="L12" i="19"/>
  <c r="J12" i="19"/>
  <c r="H12" i="19"/>
  <c r="F12" i="19"/>
  <c r="D12" i="19"/>
  <c r="K11" i="19"/>
  <c r="L11" i="19" s="1"/>
  <c r="I11" i="19"/>
  <c r="J11" i="19" s="1"/>
  <c r="G11" i="19"/>
  <c r="H11" i="19" s="1"/>
  <c r="E11" i="19"/>
  <c r="F11" i="19" s="1"/>
  <c r="C11" i="19"/>
  <c r="D11" i="19" s="1"/>
  <c r="P10" i="19"/>
  <c r="N10" i="19"/>
  <c r="L10" i="19"/>
  <c r="J10" i="19"/>
  <c r="H10" i="19"/>
  <c r="F10" i="19"/>
  <c r="D10" i="19"/>
  <c r="O9" i="19"/>
  <c r="P9" i="19" s="1"/>
  <c r="M9" i="19"/>
  <c r="N9" i="19" s="1"/>
  <c r="K9" i="19"/>
  <c r="L9" i="19" s="1"/>
  <c r="I9" i="19"/>
  <c r="J9" i="19" s="1"/>
  <c r="G9" i="19"/>
  <c r="H9" i="19" s="1"/>
  <c r="E9" i="19"/>
  <c r="F9" i="19" s="1"/>
  <c r="C9" i="19"/>
  <c r="P8" i="19"/>
  <c r="N8" i="19"/>
  <c r="L8" i="19"/>
  <c r="J8" i="19"/>
  <c r="H8" i="19"/>
  <c r="F8" i="19"/>
  <c r="D8" i="19"/>
  <c r="O7" i="19"/>
  <c r="O30" i="19" s="1"/>
  <c r="M7" i="19"/>
  <c r="M30" i="19" s="1"/>
  <c r="K7" i="19"/>
  <c r="K30" i="19" s="1"/>
  <c r="I7" i="19"/>
  <c r="I30" i="19" s="1"/>
  <c r="G7" i="19"/>
  <c r="G30" i="19" s="1"/>
  <c r="E7" i="19"/>
  <c r="E30" i="19" s="1"/>
  <c r="C7" i="19"/>
  <c r="I3" i="19"/>
  <c r="C3" i="19"/>
  <c r="L3" i="14"/>
  <c r="O42" i="17"/>
  <c r="M42" i="17"/>
  <c r="K42" i="17"/>
  <c r="I42" i="17"/>
  <c r="G42" i="17"/>
  <c r="E42" i="17"/>
  <c r="C42" i="17"/>
  <c r="B42" i="17"/>
  <c r="O41" i="17"/>
  <c r="M41" i="17"/>
  <c r="K41" i="17"/>
  <c r="I41" i="17"/>
  <c r="G41" i="17"/>
  <c r="E41" i="17"/>
  <c r="C41" i="17"/>
  <c r="B41" i="17"/>
  <c r="O40" i="17"/>
  <c r="M40" i="17"/>
  <c r="K40" i="17"/>
  <c r="I40" i="17"/>
  <c r="G40" i="17"/>
  <c r="E40" i="17"/>
  <c r="C40" i="17"/>
  <c r="B40" i="17"/>
  <c r="O39" i="17"/>
  <c r="M39" i="17"/>
  <c r="K39" i="17"/>
  <c r="I39" i="17"/>
  <c r="G39" i="17"/>
  <c r="E39" i="17"/>
  <c r="C39" i="17"/>
  <c r="B39" i="17"/>
  <c r="O38" i="17"/>
  <c r="M38" i="17"/>
  <c r="K38" i="17"/>
  <c r="I38" i="17"/>
  <c r="G38" i="17"/>
  <c r="E38" i="17"/>
  <c r="C38" i="17"/>
  <c r="O37" i="17"/>
  <c r="M37" i="17"/>
  <c r="K37" i="17"/>
  <c r="I37" i="17"/>
  <c r="G37" i="17"/>
  <c r="E37" i="17"/>
  <c r="C37" i="17"/>
  <c r="B37" i="17"/>
  <c r="O36" i="17"/>
  <c r="M36" i="17"/>
  <c r="K36" i="17"/>
  <c r="I36" i="17"/>
  <c r="G36" i="17"/>
  <c r="E36" i="17"/>
  <c r="C36" i="17"/>
  <c r="B36" i="17"/>
  <c r="O35" i="17"/>
  <c r="M35" i="17"/>
  <c r="K35" i="17"/>
  <c r="I35" i="17"/>
  <c r="G35" i="17"/>
  <c r="E35" i="17"/>
  <c r="C35" i="17"/>
  <c r="B35" i="17"/>
  <c r="O34" i="17"/>
  <c r="M34" i="17"/>
  <c r="K34" i="17"/>
  <c r="I34" i="17"/>
  <c r="G34" i="17"/>
  <c r="E34" i="17"/>
  <c r="C34" i="17"/>
  <c r="B34" i="17"/>
  <c r="O33" i="17"/>
  <c r="M33" i="17"/>
  <c r="K33" i="17"/>
  <c r="I33" i="17"/>
  <c r="G33" i="17"/>
  <c r="E33" i="17"/>
  <c r="C33" i="17"/>
  <c r="B33" i="17"/>
  <c r="O32" i="17"/>
  <c r="M32" i="17"/>
  <c r="K32" i="17"/>
  <c r="I32" i="17"/>
  <c r="G32" i="17"/>
  <c r="E32" i="17"/>
  <c r="C32" i="17"/>
  <c r="B32" i="17"/>
  <c r="O31" i="17"/>
  <c r="M31" i="17"/>
  <c r="K31" i="17"/>
  <c r="I31" i="17"/>
  <c r="G31" i="17"/>
  <c r="E31" i="17"/>
  <c r="C31" i="17"/>
  <c r="B31" i="17"/>
  <c r="B29" i="17"/>
  <c r="C28" i="17"/>
  <c r="E28" i="17" s="1"/>
  <c r="G28" i="17" s="1"/>
  <c r="I28" i="17" s="1"/>
  <c r="K28" i="17" s="1"/>
  <c r="M28" i="17" s="1"/>
  <c r="O28" i="17" s="1"/>
  <c r="B28" i="17"/>
  <c r="B26" i="17"/>
  <c r="O22" i="17"/>
  <c r="M22" i="17"/>
  <c r="N22" i="17" s="1"/>
  <c r="K22" i="17"/>
  <c r="I22" i="17"/>
  <c r="J22" i="17" s="1"/>
  <c r="G22" i="17"/>
  <c r="E22" i="17"/>
  <c r="F22" i="17" s="1"/>
  <c r="C22" i="17"/>
  <c r="D22" i="17" s="1"/>
  <c r="B22" i="17"/>
  <c r="P21" i="17"/>
  <c r="N21" i="17"/>
  <c r="L21" i="17"/>
  <c r="J21" i="17"/>
  <c r="H21" i="17"/>
  <c r="F21" i="17"/>
  <c r="D21" i="17"/>
  <c r="B21" i="17"/>
  <c r="B18" i="17"/>
  <c r="P17" i="17"/>
  <c r="N17" i="17"/>
  <c r="L17" i="17"/>
  <c r="J17" i="17"/>
  <c r="H17" i="17"/>
  <c r="F17" i="17"/>
  <c r="D17" i="17"/>
  <c r="B17" i="17"/>
  <c r="O16" i="17"/>
  <c r="P16" i="17" s="1"/>
  <c r="M16" i="17"/>
  <c r="N16" i="17" s="1"/>
  <c r="K16" i="17"/>
  <c r="L16" i="17" s="1"/>
  <c r="I16" i="17"/>
  <c r="J16" i="17" s="1"/>
  <c r="G16" i="17"/>
  <c r="H16" i="17" s="1"/>
  <c r="E16" i="17"/>
  <c r="F16" i="17" s="1"/>
  <c r="C16" i="17"/>
  <c r="D16" i="17" s="1"/>
  <c r="O15" i="17"/>
  <c r="P15" i="17" s="1"/>
  <c r="M15" i="17"/>
  <c r="N15" i="17" s="1"/>
  <c r="K15" i="17"/>
  <c r="L15" i="17" s="1"/>
  <c r="I15" i="17"/>
  <c r="J15" i="17" s="1"/>
  <c r="G15" i="17"/>
  <c r="H15" i="17" s="1"/>
  <c r="E15" i="17"/>
  <c r="F15" i="17" s="1"/>
  <c r="C15" i="17"/>
  <c r="D15" i="17" s="1"/>
  <c r="P14" i="17"/>
  <c r="N14" i="17"/>
  <c r="L14" i="17"/>
  <c r="J14" i="17"/>
  <c r="H14" i="17"/>
  <c r="F14" i="17"/>
  <c r="D14" i="17"/>
  <c r="O13" i="17"/>
  <c r="P13" i="17" s="1"/>
  <c r="M13" i="17"/>
  <c r="N13" i="17" s="1"/>
  <c r="K13" i="17"/>
  <c r="L13" i="17" s="1"/>
  <c r="I13" i="17"/>
  <c r="J13" i="17" s="1"/>
  <c r="G13" i="17"/>
  <c r="H13" i="17" s="1"/>
  <c r="E13" i="17"/>
  <c r="F13" i="17" s="1"/>
  <c r="C13" i="17"/>
  <c r="D13" i="17" s="1"/>
  <c r="P12" i="17"/>
  <c r="N12" i="17"/>
  <c r="L12" i="17"/>
  <c r="J12" i="17"/>
  <c r="H12" i="17"/>
  <c r="F12" i="17"/>
  <c r="D12" i="17"/>
  <c r="O11" i="17"/>
  <c r="P11" i="17" s="1"/>
  <c r="M11" i="17"/>
  <c r="N11" i="17" s="1"/>
  <c r="K11" i="17"/>
  <c r="L11" i="17" s="1"/>
  <c r="I11" i="17"/>
  <c r="J11" i="17" s="1"/>
  <c r="G11" i="17"/>
  <c r="H11" i="17" s="1"/>
  <c r="E11" i="17"/>
  <c r="F11" i="17" s="1"/>
  <c r="C11" i="17"/>
  <c r="D11" i="17" s="1"/>
  <c r="P10" i="17"/>
  <c r="N10" i="17"/>
  <c r="L10" i="17"/>
  <c r="J10" i="17"/>
  <c r="H10" i="17"/>
  <c r="F10" i="17"/>
  <c r="D10" i="17"/>
  <c r="O9" i="17"/>
  <c r="P9" i="17" s="1"/>
  <c r="M9" i="17"/>
  <c r="N9" i="17" s="1"/>
  <c r="K9" i="17"/>
  <c r="L9" i="17" s="1"/>
  <c r="I9" i="17"/>
  <c r="J9" i="17" s="1"/>
  <c r="G9" i="17"/>
  <c r="H9" i="17" s="1"/>
  <c r="E9" i="17"/>
  <c r="F9" i="17" s="1"/>
  <c r="C9" i="17"/>
  <c r="P8" i="17"/>
  <c r="N8" i="17"/>
  <c r="L8" i="17"/>
  <c r="J8" i="17"/>
  <c r="H8" i="17"/>
  <c r="F8" i="17"/>
  <c r="D8" i="17"/>
  <c r="O7" i="17"/>
  <c r="O30" i="17" s="1"/>
  <c r="M7" i="17"/>
  <c r="M30" i="17" s="1"/>
  <c r="K7" i="17"/>
  <c r="K30" i="17" s="1"/>
  <c r="I7" i="17"/>
  <c r="I30" i="17" s="1"/>
  <c r="G7" i="17"/>
  <c r="G30" i="17" s="1"/>
  <c r="E7" i="17"/>
  <c r="E30" i="17" s="1"/>
  <c r="C7" i="17"/>
  <c r="C30" i="17" s="1"/>
  <c r="I3" i="17"/>
  <c r="C3" i="17"/>
  <c r="O42" i="16"/>
  <c r="M42" i="16"/>
  <c r="K42" i="16"/>
  <c r="I42" i="16"/>
  <c r="G42" i="16"/>
  <c r="E42" i="16"/>
  <c r="C42" i="16"/>
  <c r="B42" i="16"/>
  <c r="O41" i="16"/>
  <c r="M41" i="16"/>
  <c r="K41" i="16"/>
  <c r="I41" i="16"/>
  <c r="G41" i="16"/>
  <c r="E41" i="16"/>
  <c r="C41" i="16"/>
  <c r="B41" i="16"/>
  <c r="O40" i="16"/>
  <c r="M40" i="16"/>
  <c r="K40" i="16"/>
  <c r="I40" i="16"/>
  <c r="G40" i="16"/>
  <c r="E40" i="16"/>
  <c r="C40" i="16"/>
  <c r="B40" i="16"/>
  <c r="O39" i="16"/>
  <c r="M39" i="16"/>
  <c r="K39" i="16"/>
  <c r="I39" i="16"/>
  <c r="G39" i="16"/>
  <c r="E39" i="16"/>
  <c r="C39" i="16"/>
  <c r="B39" i="16"/>
  <c r="O38" i="16"/>
  <c r="M38" i="16"/>
  <c r="K38" i="16"/>
  <c r="I38" i="16"/>
  <c r="G38" i="16"/>
  <c r="E38" i="16"/>
  <c r="C38" i="16"/>
  <c r="O37" i="16"/>
  <c r="M37" i="16"/>
  <c r="K37" i="16"/>
  <c r="I37" i="16"/>
  <c r="G37" i="16"/>
  <c r="E37" i="16"/>
  <c r="C37" i="16"/>
  <c r="B37" i="16"/>
  <c r="O36" i="16"/>
  <c r="M36" i="16"/>
  <c r="K36" i="16"/>
  <c r="I36" i="16"/>
  <c r="G36" i="16"/>
  <c r="E36" i="16"/>
  <c r="C36" i="16"/>
  <c r="B36" i="16"/>
  <c r="O35" i="16"/>
  <c r="M35" i="16"/>
  <c r="K35" i="16"/>
  <c r="I35" i="16"/>
  <c r="G35" i="16"/>
  <c r="E35" i="16"/>
  <c r="C35" i="16"/>
  <c r="B35" i="16"/>
  <c r="O34" i="16"/>
  <c r="M34" i="16"/>
  <c r="K34" i="16"/>
  <c r="I34" i="16"/>
  <c r="G34" i="16"/>
  <c r="E34" i="16"/>
  <c r="C34" i="16"/>
  <c r="B34" i="16"/>
  <c r="O33" i="16"/>
  <c r="M33" i="16"/>
  <c r="K33" i="16"/>
  <c r="I33" i="16"/>
  <c r="G33" i="16"/>
  <c r="E33" i="16"/>
  <c r="C33" i="16"/>
  <c r="B33" i="16"/>
  <c r="O32" i="16"/>
  <c r="M32" i="16"/>
  <c r="K32" i="16"/>
  <c r="I32" i="16"/>
  <c r="G32" i="16"/>
  <c r="E32" i="16"/>
  <c r="C32" i="16"/>
  <c r="B32" i="16"/>
  <c r="O31" i="16"/>
  <c r="M31" i="16"/>
  <c r="K31" i="16"/>
  <c r="I31" i="16"/>
  <c r="G31" i="16"/>
  <c r="E31" i="16"/>
  <c r="C31" i="16"/>
  <c r="B31" i="16"/>
  <c r="B29" i="16"/>
  <c r="C28" i="16"/>
  <c r="E28" i="16" s="1"/>
  <c r="G28" i="16" s="1"/>
  <c r="I28" i="16" s="1"/>
  <c r="K28" i="16" s="1"/>
  <c r="M28" i="16" s="1"/>
  <c r="O28" i="16" s="1"/>
  <c r="B28" i="16"/>
  <c r="B26" i="16"/>
  <c r="O22" i="16"/>
  <c r="P22" i="16" s="1"/>
  <c r="M22" i="16"/>
  <c r="N22" i="16" s="1"/>
  <c r="K22" i="16"/>
  <c r="I22" i="16"/>
  <c r="G22" i="16"/>
  <c r="H22" i="16" s="1"/>
  <c r="E22" i="16"/>
  <c r="F22" i="16" s="1"/>
  <c r="C22" i="16"/>
  <c r="D22" i="16" s="1"/>
  <c r="B22" i="16"/>
  <c r="P21" i="16"/>
  <c r="N21" i="16"/>
  <c r="L21" i="16"/>
  <c r="J21" i="16"/>
  <c r="H21" i="16"/>
  <c r="F21" i="16"/>
  <c r="D21" i="16"/>
  <c r="B21" i="16"/>
  <c r="B18" i="16"/>
  <c r="P17" i="16"/>
  <c r="N17" i="16"/>
  <c r="L17" i="16"/>
  <c r="J17" i="16"/>
  <c r="H17" i="16"/>
  <c r="F17" i="16"/>
  <c r="D17" i="16"/>
  <c r="B17" i="16"/>
  <c r="O16" i="16"/>
  <c r="P16" i="16" s="1"/>
  <c r="M16" i="16"/>
  <c r="N16" i="16" s="1"/>
  <c r="K16" i="16"/>
  <c r="L16" i="16" s="1"/>
  <c r="I16" i="16"/>
  <c r="J16" i="16" s="1"/>
  <c r="G16" i="16"/>
  <c r="H16" i="16" s="1"/>
  <c r="E16" i="16"/>
  <c r="F16" i="16" s="1"/>
  <c r="C16" i="16"/>
  <c r="D16" i="16" s="1"/>
  <c r="O15" i="16"/>
  <c r="P15" i="16" s="1"/>
  <c r="M15" i="16"/>
  <c r="N15" i="16" s="1"/>
  <c r="K15" i="16"/>
  <c r="L15" i="16" s="1"/>
  <c r="I15" i="16"/>
  <c r="J15" i="16" s="1"/>
  <c r="G15" i="16"/>
  <c r="H15" i="16" s="1"/>
  <c r="E15" i="16"/>
  <c r="F15" i="16" s="1"/>
  <c r="C15" i="16"/>
  <c r="D15" i="16" s="1"/>
  <c r="P14" i="16"/>
  <c r="N14" i="16"/>
  <c r="L14" i="16"/>
  <c r="J14" i="16"/>
  <c r="H14" i="16"/>
  <c r="F14" i="16"/>
  <c r="D14" i="16"/>
  <c r="O13" i="16"/>
  <c r="P13" i="16" s="1"/>
  <c r="M13" i="16"/>
  <c r="N13" i="16" s="1"/>
  <c r="K13" i="16"/>
  <c r="L13" i="16" s="1"/>
  <c r="I13" i="16"/>
  <c r="J13" i="16" s="1"/>
  <c r="G13" i="16"/>
  <c r="H13" i="16" s="1"/>
  <c r="E13" i="16"/>
  <c r="F13" i="16" s="1"/>
  <c r="C13" i="16"/>
  <c r="D13" i="16" s="1"/>
  <c r="P12" i="16"/>
  <c r="N12" i="16"/>
  <c r="L12" i="16"/>
  <c r="J12" i="16"/>
  <c r="H12" i="16"/>
  <c r="F12" i="16"/>
  <c r="D12" i="16"/>
  <c r="O11" i="16"/>
  <c r="P11" i="16" s="1"/>
  <c r="M11" i="16"/>
  <c r="N11" i="16" s="1"/>
  <c r="K11" i="16"/>
  <c r="L11" i="16" s="1"/>
  <c r="I11" i="16"/>
  <c r="J11" i="16" s="1"/>
  <c r="G11" i="16"/>
  <c r="H11" i="16" s="1"/>
  <c r="E11" i="16"/>
  <c r="F11" i="16" s="1"/>
  <c r="C11" i="16"/>
  <c r="D11" i="16" s="1"/>
  <c r="P10" i="16"/>
  <c r="N10" i="16"/>
  <c r="L10" i="16"/>
  <c r="J10" i="16"/>
  <c r="H10" i="16"/>
  <c r="F10" i="16"/>
  <c r="D10" i="16"/>
  <c r="O9" i="16"/>
  <c r="P9" i="16" s="1"/>
  <c r="M9" i="16"/>
  <c r="N9" i="16" s="1"/>
  <c r="K9" i="16"/>
  <c r="L9" i="16" s="1"/>
  <c r="I9" i="16"/>
  <c r="J9" i="16" s="1"/>
  <c r="G9" i="16"/>
  <c r="H9" i="16" s="1"/>
  <c r="E9" i="16"/>
  <c r="F9" i="16" s="1"/>
  <c r="C9" i="16"/>
  <c r="P8" i="16"/>
  <c r="N8" i="16"/>
  <c r="L8" i="16"/>
  <c r="J8" i="16"/>
  <c r="H8" i="16"/>
  <c r="F8" i="16"/>
  <c r="D8" i="16"/>
  <c r="O7" i="16"/>
  <c r="O30" i="16" s="1"/>
  <c r="M7" i="16"/>
  <c r="M30" i="16" s="1"/>
  <c r="K7" i="16"/>
  <c r="K30" i="16" s="1"/>
  <c r="I7" i="16"/>
  <c r="I30" i="16" s="1"/>
  <c r="G7" i="16"/>
  <c r="G30" i="16" s="1"/>
  <c r="E7" i="16"/>
  <c r="E30" i="16" s="1"/>
  <c r="C7" i="16"/>
  <c r="C30" i="16" s="1"/>
  <c r="I3" i="16"/>
  <c r="C3" i="16"/>
  <c r="O42" i="15"/>
  <c r="M42" i="15"/>
  <c r="K42" i="15"/>
  <c r="I42" i="15"/>
  <c r="G42" i="15"/>
  <c r="E42" i="15"/>
  <c r="C42" i="15"/>
  <c r="B42" i="15"/>
  <c r="O41" i="15"/>
  <c r="M41" i="15"/>
  <c r="K41" i="15"/>
  <c r="I41" i="15"/>
  <c r="G41" i="15"/>
  <c r="E41" i="15"/>
  <c r="C41" i="15"/>
  <c r="B41" i="15"/>
  <c r="O40" i="15"/>
  <c r="M40" i="15"/>
  <c r="K40" i="15"/>
  <c r="I40" i="15"/>
  <c r="G40" i="15"/>
  <c r="E40" i="15"/>
  <c r="C40" i="15"/>
  <c r="B40" i="15"/>
  <c r="O39" i="15"/>
  <c r="M39" i="15"/>
  <c r="K39" i="15"/>
  <c r="I39" i="15"/>
  <c r="G39" i="15"/>
  <c r="E39" i="15"/>
  <c r="C39" i="15"/>
  <c r="B39" i="15"/>
  <c r="O38" i="15"/>
  <c r="M38" i="15"/>
  <c r="K38" i="15"/>
  <c r="I38" i="15"/>
  <c r="G38" i="15"/>
  <c r="E38" i="15"/>
  <c r="C38" i="15"/>
  <c r="O37" i="15"/>
  <c r="M37" i="15"/>
  <c r="K37" i="15"/>
  <c r="I37" i="15"/>
  <c r="G37" i="15"/>
  <c r="E37" i="15"/>
  <c r="C37" i="15"/>
  <c r="B37" i="15"/>
  <c r="O36" i="15"/>
  <c r="M36" i="15"/>
  <c r="K36" i="15"/>
  <c r="I36" i="15"/>
  <c r="G36" i="15"/>
  <c r="E36" i="15"/>
  <c r="C36" i="15"/>
  <c r="B36" i="15"/>
  <c r="O35" i="15"/>
  <c r="M35" i="15"/>
  <c r="K35" i="15"/>
  <c r="I35" i="15"/>
  <c r="G35" i="15"/>
  <c r="E35" i="15"/>
  <c r="C35" i="15"/>
  <c r="B35" i="15"/>
  <c r="O34" i="15"/>
  <c r="M34" i="15"/>
  <c r="K34" i="15"/>
  <c r="I34" i="15"/>
  <c r="G34" i="15"/>
  <c r="E34" i="15"/>
  <c r="C34" i="15"/>
  <c r="B34" i="15"/>
  <c r="O33" i="15"/>
  <c r="M33" i="15"/>
  <c r="K33" i="15"/>
  <c r="I33" i="15"/>
  <c r="G33" i="15"/>
  <c r="E33" i="15"/>
  <c r="C33" i="15"/>
  <c r="B33" i="15"/>
  <c r="O32" i="15"/>
  <c r="M32" i="15"/>
  <c r="K32" i="15"/>
  <c r="I32" i="15"/>
  <c r="G32" i="15"/>
  <c r="E32" i="15"/>
  <c r="C32" i="15"/>
  <c r="B32" i="15"/>
  <c r="O31" i="15"/>
  <c r="M31" i="15"/>
  <c r="K31" i="15"/>
  <c r="I31" i="15"/>
  <c r="G31" i="15"/>
  <c r="E31" i="15"/>
  <c r="C31" i="15"/>
  <c r="B31" i="15"/>
  <c r="B29" i="15"/>
  <c r="C28" i="15"/>
  <c r="E28" i="15" s="1"/>
  <c r="G28" i="15" s="1"/>
  <c r="I28" i="15" s="1"/>
  <c r="K28" i="15" s="1"/>
  <c r="M28" i="15" s="1"/>
  <c r="O28" i="15" s="1"/>
  <c r="B28" i="15"/>
  <c r="B26" i="15"/>
  <c r="O22" i="15"/>
  <c r="P22" i="15" s="1"/>
  <c r="M22" i="15"/>
  <c r="N22" i="15" s="1"/>
  <c r="K22" i="15"/>
  <c r="I22" i="15"/>
  <c r="G22" i="15"/>
  <c r="H22" i="15" s="1"/>
  <c r="E22" i="15"/>
  <c r="F22" i="15" s="1"/>
  <c r="C22" i="15"/>
  <c r="D22" i="15" s="1"/>
  <c r="B22" i="15"/>
  <c r="P21" i="15"/>
  <c r="N21" i="15"/>
  <c r="L21" i="15"/>
  <c r="J21" i="15"/>
  <c r="H21" i="15"/>
  <c r="F21" i="15"/>
  <c r="D21" i="15"/>
  <c r="B21" i="15"/>
  <c r="B18" i="15"/>
  <c r="P17" i="15"/>
  <c r="N17" i="15"/>
  <c r="L17" i="15"/>
  <c r="J17" i="15"/>
  <c r="H17" i="15"/>
  <c r="F17" i="15"/>
  <c r="D17" i="15"/>
  <c r="B17" i="15"/>
  <c r="O16" i="15"/>
  <c r="P16" i="15" s="1"/>
  <c r="M16" i="15"/>
  <c r="N16" i="15" s="1"/>
  <c r="K16" i="15"/>
  <c r="L16" i="15" s="1"/>
  <c r="I16" i="15"/>
  <c r="J16" i="15" s="1"/>
  <c r="G16" i="15"/>
  <c r="H16" i="15" s="1"/>
  <c r="E16" i="15"/>
  <c r="F16" i="15" s="1"/>
  <c r="C16" i="15"/>
  <c r="D16" i="15" s="1"/>
  <c r="O15" i="15"/>
  <c r="P15" i="15" s="1"/>
  <c r="M15" i="15"/>
  <c r="N15" i="15" s="1"/>
  <c r="K15" i="15"/>
  <c r="L15" i="15" s="1"/>
  <c r="I15" i="15"/>
  <c r="J15" i="15" s="1"/>
  <c r="G15" i="15"/>
  <c r="H15" i="15" s="1"/>
  <c r="E15" i="15"/>
  <c r="F15" i="15" s="1"/>
  <c r="C15" i="15"/>
  <c r="D15" i="15" s="1"/>
  <c r="P14" i="15"/>
  <c r="N14" i="15"/>
  <c r="L14" i="15"/>
  <c r="J14" i="15"/>
  <c r="H14" i="15"/>
  <c r="F14" i="15"/>
  <c r="D14" i="15"/>
  <c r="O13" i="15"/>
  <c r="P13" i="15" s="1"/>
  <c r="M13" i="15"/>
  <c r="N13" i="15" s="1"/>
  <c r="K13" i="15"/>
  <c r="L13" i="15" s="1"/>
  <c r="I13" i="15"/>
  <c r="J13" i="15" s="1"/>
  <c r="G13" i="15"/>
  <c r="H13" i="15" s="1"/>
  <c r="E13" i="15"/>
  <c r="F13" i="15" s="1"/>
  <c r="C13" i="15"/>
  <c r="D13" i="15" s="1"/>
  <c r="P12" i="15"/>
  <c r="N12" i="15"/>
  <c r="L12" i="15"/>
  <c r="J12" i="15"/>
  <c r="H12" i="15"/>
  <c r="F12" i="15"/>
  <c r="D12" i="15"/>
  <c r="O11" i="15"/>
  <c r="P11" i="15" s="1"/>
  <c r="M11" i="15"/>
  <c r="N11" i="15" s="1"/>
  <c r="K11" i="15"/>
  <c r="L11" i="15" s="1"/>
  <c r="I11" i="15"/>
  <c r="J11" i="15" s="1"/>
  <c r="G11" i="15"/>
  <c r="H11" i="15" s="1"/>
  <c r="E11" i="15"/>
  <c r="F11" i="15" s="1"/>
  <c r="C11" i="15"/>
  <c r="D11" i="15" s="1"/>
  <c r="P10" i="15"/>
  <c r="N10" i="15"/>
  <c r="L10" i="15"/>
  <c r="J10" i="15"/>
  <c r="H10" i="15"/>
  <c r="F10" i="15"/>
  <c r="D10" i="15"/>
  <c r="O9" i="15"/>
  <c r="P9" i="15" s="1"/>
  <c r="M9" i="15"/>
  <c r="N9" i="15" s="1"/>
  <c r="K9" i="15"/>
  <c r="L9" i="15" s="1"/>
  <c r="I9" i="15"/>
  <c r="J9" i="15" s="1"/>
  <c r="G9" i="15"/>
  <c r="H9" i="15" s="1"/>
  <c r="E9" i="15"/>
  <c r="F9" i="15" s="1"/>
  <c r="C9" i="15"/>
  <c r="P8" i="15"/>
  <c r="N8" i="15"/>
  <c r="L8" i="15"/>
  <c r="J8" i="15"/>
  <c r="H8" i="15"/>
  <c r="F8" i="15"/>
  <c r="D8" i="15"/>
  <c r="O7" i="15"/>
  <c r="O30" i="15" s="1"/>
  <c r="M7" i="15"/>
  <c r="M30" i="15" s="1"/>
  <c r="K7" i="15"/>
  <c r="K30" i="15" s="1"/>
  <c r="I7" i="15"/>
  <c r="I30" i="15" s="1"/>
  <c r="G7" i="15"/>
  <c r="G30" i="15" s="1"/>
  <c r="E7" i="15"/>
  <c r="E30" i="15" s="1"/>
  <c r="C7" i="15"/>
  <c r="C30" i="15" s="1"/>
  <c r="I3" i="15"/>
  <c r="C3" i="15"/>
  <c r="D26" i="21" l="1"/>
  <c r="C18" i="21"/>
  <c r="E26" i="21"/>
  <c r="E29" i="21"/>
  <c r="G29" i="21" s="1"/>
  <c r="I29" i="21" s="1"/>
  <c r="K29" i="21" s="1"/>
  <c r="M29" i="21" s="1"/>
  <c r="O29" i="21" s="1"/>
  <c r="C4" i="21" s="1"/>
  <c r="C26" i="19"/>
  <c r="E26" i="19" s="1"/>
  <c r="D26" i="20"/>
  <c r="C18" i="20"/>
  <c r="E26" i="20"/>
  <c r="J22" i="20"/>
  <c r="C29" i="20"/>
  <c r="E29" i="20" s="1"/>
  <c r="G29" i="20" s="1"/>
  <c r="I29" i="20" s="1"/>
  <c r="K29" i="20" s="1"/>
  <c r="M29" i="20" s="1"/>
  <c r="O29" i="20" s="1"/>
  <c r="C4" i="20" s="1"/>
  <c r="D9" i="20"/>
  <c r="C18" i="19"/>
  <c r="C29" i="19"/>
  <c r="E29" i="19" s="1"/>
  <c r="G29" i="19" s="1"/>
  <c r="I29" i="19" s="1"/>
  <c r="K29" i="19" s="1"/>
  <c r="M29" i="19" s="1"/>
  <c r="O29" i="19" s="1"/>
  <c r="C4" i="19" s="1"/>
  <c r="J22" i="19"/>
  <c r="D9" i="19"/>
  <c r="L22" i="19"/>
  <c r="C26" i="17"/>
  <c r="C18" i="17" s="1"/>
  <c r="D26" i="17"/>
  <c r="H22" i="17"/>
  <c r="P22" i="17"/>
  <c r="C29" i="17"/>
  <c r="E29" i="17" s="1"/>
  <c r="G29" i="17" s="1"/>
  <c r="I29" i="17" s="1"/>
  <c r="K29" i="17" s="1"/>
  <c r="M29" i="17" s="1"/>
  <c r="O29" i="17" s="1"/>
  <c r="C4" i="17" s="1"/>
  <c r="D9" i="17"/>
  <c r="L22" i="17"/>
  <c r="C26" i="16"/>
  <c r="C18" i="16" s="1"/>
  <c r="J22" i="16"/>
  <c r="C29" i="16"/>
  <c r="E29" i="16" s="1"/>
  <c r="G29" i="16" s="1"/>
  <c r="I29" i="16" s="1"/>
  <c r="K29" i="16" s="1"/>
  <c r="M29" i="16" s="1"/>
  <c r="O29" i="16" s="1"/>
  <c r="C4" i="16" s="1"/>
  <c r="D9" i="16"/>
  <c r="L22" i="16"/>
  <c r="C26" i="15"/>
  <c r="D26" i="15" s="1"/>
  <c r="J22" i="15"/>
  <c r="C29" i="15"/>
  <c r="E29" i="15" s="1"/>
  <c r="G29" i="15" s="1"/>
  <c r="I29" i="15" s="1"/>
  <c r="K29" i="15" s="1"/>
  <c r="M29" i="15" s="1"/>
  <c r="O29" i="15" s="1"/>
  <c r="C4" i="15" s="1"/>
  <c r="D9" i="15"/>
  <c r="L22" i="15"/>
  <c r="O42" i="3"/>
  <c r="O41" i="3"/>
  <c r="O40" i="3"/>
  <c r="O39" i="3"/>
  <c r="M42" i="3"/>
  <c r="M41" i="3"/>
  <c r="M40" i="3"/>
  <c r="M39" i="3"/>
  <c r="K42" i="3"/>
  <c r="K41" i="3"/>
  <c r="K40" i="3"/>
  <c r="K39" i="3"/>
  <c r="I42" i="3"/>
  <c r="I41" i="3"/>
  <c r="I40" i="3"/>
  <c r="I39" i="3"/>
  <c r="G42" i="3"/>
  <c r="G41" i="3"/>
  <c r="G40" i="3"/>
  <c r="G39" i="3"/>
  <c r="E42" i="3"/>
  <c r="E41" i="3"/>
  <c r="E40" i="3"/>
  <c r="E39" i="3"/>
  <c r="C42" i="3"/>
  <c r="C41" i="3"/>
  <c r="C40" i="3"/>
  <c r="C39" i="3"/>
  <c r="O38" i="3"/>
  <c r="M38" i="3"/>
  <c r="K38" i="3"/>
  <c r="I38" i="3"/>
  <c r="G38" i="3"/>
  <c r="E38" i="3"/>
  <c r="C38" i="3"/>
  <c r="O37" i="3"/>
  <c r="O36" i="3"/>
  <c r="O35" i="3"/>
  <c r="O34" i="3"/>
  <c r="O33" i="3"/>
  <c r="O32" i="3"/>
  <c r="O31" i="3"/>
  <c r="M37" i="3"/>
  <c r="M36" i="3"/>
  <c r="M35" i="3"/>
  <c r="M34" i="3"/>
  <c r="M33" i="3"/>
  <c r="M32" i="3"/>
  <c r="M31" i="3"/>
  <c r="K37" i="3"/>
  <c r="K36" i="3"/>
  <c r="K35" i="3"/>
  <c r="K34" i="3"/>
  <c r="K33" i="3"/>
  <c r="K32" i="3"/>
  <c r="K31" i="3"/>
  <c r="I37" i="3"/>
  <c r="I36" i="3"/>
  <c r="I35" i="3"/>
  <c r="I34" i="3"/>
  <c r="I33" i="3"/>
  <c r="I32" i="3"/>
  <c r="I31" i="3"/>
  <c r="G37" i="3"/>
  <c r="G36" i="3"/>
  <c r="G35" i="3"/>
  <c r="G34" i="3"/>
  <c r="G33" i="3"/>
  <c r="G32" i="3"/>
  <c r="G31" i="3"/>
  <c r="E37" i="3"/>
  <c r="E36" i="3"/>
  <c r="E35" i="3"/>
  <c r="E34" i="3"/>
  <c r="E33" i="3"/>
  <c r="E32" i="3"/>
  <c r="E31" i="3"/>
  <c r="B42" i="3"/>
  <c r="B41" i="3"/>
  <c r="B40" i="3"/>
  <c r="B39" i="3"/>
  <c r="B37" i="3"/>
  <c r="B36" i="3"/>
  <c r="B35" i="3"/>
  <c r="B34" i="3"/>
  <c r="B33" i="3"/>
  <c r="B32" i="3"/>
  <c r="B31" i="3"/>
  <c r="C37" i="3"/>
  <c r="C36" i="3"/>
  <c r="C35" i="3"/>
  <c r="C34" i="3"/>
  <c r="C33" i="3"/>
  <c r="C32" i="3"/>
  <c r="C31" i="3"/>
  <c r="O11" i="3"/>
  <c r="M11" i="3"/>
  <c r="O13" i="3"/>
  <c r="P13" i="3" s="1"/>
  <c r="M13" i="3"/>
  <c r="N13" i="3" s="1"/>
  <c r="K13" i="3"/>
  <c r="L13" i="3" s="1"/>
  <c r="I13" i="3"/>
  <c r="J13" i="3" s="1"/>
  <c r="G13" i="3"/>
  <c r="H13" i="3" s="1"/>
  <c r="E13" i="3"/>
  <c r="F13" i="3" s="1"/>
  <c r="C13" i="3"/>
  <c r="D13" i="3" s="1"/>
  <c r="G19" i="2"/>
  <c r="K11" i="3"/>
  <c r="I11" i="3"/>
  <c r="G11" i="3"/>
  <c r="E11" i="3"/>
  <c r="C11" i="3"/>
  <c r="I3" i="3"/>
  <c r="O16" i="3"/>
  <c r="P16" i="3" s="1"/>
  <c r="M16" i="3"/>
  <c r="N16" i="3" s="1"/>
  <c r="K16" i="3"/>
  <c r="L16" i="3" s="1"/>
  <c r="I16" i="3"/>
  <c r="J16" i="3" s="1"/>
  <c r="G16" i="3"/>
  <c r="H16" i="3" s="1"/>
  <c r="E16" i="3"/>
  <c r="F16" i="3" s="1"/>
  <c r="C16" i="3"/>
  <c r="Q16" i="2"/>
  <c r="P16" i="2"/>
  <c r="O9" i="3"/>
  <c r="M9" i="3"/>
  <c r="K9" i="3"/>
  <c r="I9" i="3"/>
  <c r="G9" i="3"/>
  <c r="E9" i="3"/>
  <c r="C9" i="3"/>
  <c r="G18" i="2"/>
  <c r="L7" i="2"/>
  <c r="N7" i="2"/>
  <c r="Q7" i="2" s="1"/>
  <c r="L8" i="2"/>
  <c r="N8" i="2"/>
  <c r="Q8" i="2" s="1"/>
  <c r="H15" i="2"/>
  <c r="G15" i="2"/>
  <c r="E3" i="2"/>
  <c r="E26" i="17" l="1"/>
  <c r="D26" i="19"/>
  <c r="G26" i="21"/>
  <c r="F26" i="21"/>
  <c r="E18" i="21"/>
  <c r="D18" i="21"/>
  <c r="G26" i="20"/>
  <c r="F26" i="20"/>
  <c r="D18" i="20"/>
  <c r="E18" i="20"/>
  <c r="F26" i="19"/>
  <c r="G26" i="19"/>
  <c r="D18" i="19"/>
  <c r="E18" i="19"/>
  <c r="E26" i="15"/>
  <c r="F26" i="15" s="1"/>
  <c r="D26" i="16"/>
  <c r="G26" i="17"/>
  <c r="F26" i="17"/>
  <c r="E26" i="16"/>
  <c r="F26" i="16" s="1"/>
  <c r="E18" i="17"/>
  <c r="D18" i="17"/>
  <c r="D18" i="16"/>
  <c r="E18" i="16"/>
  <c r="C18" i="15"/>
  <c r="D18" i="15" s="1"/>
  <c r="G26" i="15"/>
  <c r="I15" i="2"/>
  <c r="H5" i="2" s="1"/>
  <c r="P17" i="3" s="1"/>
  <c r="J15" i="2"/>
  <c r="G26" i="16" l="1"/>
  <c r="G18" i="21"/>
  <c r="F18" i="21"/>
  <c r="I26" i="21"/>
  <c r="H26" i="21"/>
  <c r="G18" i="20"/>
  <c r="F18" i="20"/>
  <c r="I26" i="20"/>
  <c r="H26" i="20"/>
  <c r="G18" i="19"/>
  <c r="F18" i="19"/>
  <c r="I26" i="19"/>
  <c r="H26" i="19"/>
  <c r="I26" i="17"/>
  <c r="H26" i="17"/>
  <c r="F18" i="17"/>
  <c r="G18" i="17"/>
  <c r="G18" i="16"/>
  <c r="F18" i="16"/>
  <c r="E18" i="15"/>
  <c r="G18" i="15" s="1"/>
  <c r="I26" i="16"/>
  <c r="H26" i="16"/>
  <c r="I26" i="15"/>
  <c r="H26" i="15"/>
  <c r="C22" i="3"/>
  <c r="D22" i="3" s="1"/>
  <c r="C15" i="3"/>
  <c r="O22" i="3"/>
  <c r="P22" i="3" s="1"/>
  <c r="P21" i="3"/>
  <c r="M22" i="3"/>
  <c r="N22" i="3" s="1"/>
  <c r="N21" i="3"/>
  <c r="K22" i="3"/>
  <c r="L22" i="3" s="1"/>
  <c r="L21" i="3"/>
  <c r="I22" i="3"/>
  <c r="J22" i="3" s="1"/>
  <c r="J21" i="3"/>
  <c r="G22" i="3"/>
  <c r="H22" i="3" s="1"/>
  <c r="H21" i="3"/>
  <c r="E22" i="3"/>
  <c r="F21" i="3"/>
  <c r="D21" i="3"/>
  <c r="O15" i="3"/>
  <c r="M15" i="3"/>
  <c r="K15" i="3"/>
  <c r="I15" i="3"/>
  <c r="G15" i="3"/>
  <c r="E15" i="3"/>
  <c r="B22" i="3"/>
  <c r="B21" i="3"/>
  <c r="C3" i="3"/>
  <c r="P10" i="2"/>
  <c r="L14" i="2"/>
  <c r="L13" i="2"/>
  <c r="L12" i="2"/>
  <c r="L11" i="2"/>
  <c r="L10" i="2"/>
  <c r="N14" i="2"/>
  <c r="Q14" i="2" s="1"/>
  <c r="N13" i="2"/>
  <c r="Q13" i="2" s="1"/>
  <c r="N12" i="2"/>
  <c r="Q12" i="2" s="1"/>
  <c r="N11" i="2"/>
  <c r="Q11" i="2" s="1"/>
  <c r="L1" i="2"/>
  <c r="N3" i="2"/>
  <c r="Q3" i="2" s="1"/>
  <c r="N4" i="2"/>
  <c r="Q4" i="2" s="1"/>
  <c r="N5" i="2"/>
  <c r="Q5" i="2" s="1"/>
  <c r="N6" i="2"/>
  <c r="Q6" i="2" s="1"/>
  <c r="N2" i="2"/>
  <c r="L6" i="2"/>
  <c r="L5" i="2"/>
  <c r="L4" i="2"/>
  <c r="L3" i="2"/>
  <c r="L2" i="2"/>
  <c r="P1" i="2"/>
  <c r="M3" i="20" l="1"/>
  <c r="M3" i="21"/>
  <c r="K26" i="21"/>
  <c r="J26" i="21"/>
  <c r="I18" i="21"/>
  <c r="H18" i="21"/>
  <c r="K26" i="20"/>
  <c r="J26" i="20"/>
  <c r="I18" i="20"/>
  <c r="H18" i="20"/>
  <c r="M3" i="17"/>
  <c r="M3" i="19"/>
  <c r="K26" i="19"/>
  <c r="J26" i="19"/>
  <c r="I18" i="19"/>
  <c r="H18" i="19"/>
  <c r="I18" i="17"/>
  <c r="H18" i="17"/>
  <c r="F18" i="15"/>
  <c r="K26" i="17"/>
  <c r="J26" i="17"/>
  <c r="K26" i="16"/>
  <c r="J26" i="16"/>
  <c r="M3" i="15"/>
  <c r="M3" i="16"/>
  <c r="I18" i="16"/>
  <c r="H18" i="16"/>
  <c r="K26" i="15"/>
  <c r="J26" i="15"/>
  <c r="I18" i="15"/>
  <c r="H18" i="15"/>
  <c r="M3" i="3"/>
  <c r="Q2" i="2"/>
  <c r="F22" i="3"/>
  <c r="K18" i="21" l="1"/>
  <c r="J18" i="21"/>
  <c r="L26" i="21"/>
  <c r="M26" i="21"/>
  <c r="L26" i="20"/>
  <c r="M26" i="20"/>
  <c r="K18" i="20"/>
  <c r="J18" i="20"/>
  <c r="K18" i="19"/>
  <c r="J18" i="19"/>
  <c r="L26" i="19"/>
  <c r="M26" i="19"/>
  <c r="L26" i="17"/>
  <c r="M26" i="17"/>
  <c r="K18" i="17"/>
  <c r="J18" i="17"/>
  <c r="K18" i="16"/>
  <c r="J18" i="16"/>
  <c r="L26" i="16"/>
  <c r="M26" i="16"/>
  <c r="K18" i="15"/>
  <c r="J18" i="15"/>
  <c r="L26" i="15"/>
  <c r="M26" i="15"/>
  <c r="F17" i="3"/>
  <c r="C28" i="3"/>
  <c r="E28" i="3" s="1"/>
  <c r="G28" i="3" s="1"/>
  <c r="I28" i="3" s="1"/>
  <c r="K28" i="3" s="1"/>
  <c r="M28" i="3" s="1"/>
  <c r="O28" i="3" s="1"/>
  <c r="O26" i="21" l="1"/>
  <c r="P26" i="21" s="1"/>
  <c r="N26" i="21"/>
  <c r="M18" i="21"/>
  <c r="L18" i="21"/>
  <c r="L18" i="20"/>
  <c r="M18" i="20"/>
  <c r="O26" i="20"/>
  <c r="P26" i="20" s="1"/>
  <c r="N26" i="20"/>
  <c r="O26" i="19"/>
  <c r="P26" i="19" s="1"/>
  <c r="N26" i="19"/>
  <c r="M18" i="19"/>
  <c r="L18" i="19"/>
  <c r="M18" i="17"/>
  <c r="L18" i="17"/>
  <c r="O26" i="17"/>
  <c r="P26" i="17" s="1"/>
  <c r="N26" i="17"/>
  <c r="O26" i="16"/>
  <c r="P26" i="16" s="1"/>
  <c r="N26" i="16"/>
  <c r="L18" i="16"/>
  <c r="M18" i="16"/>
  <c r="O26" i="15"/>
  <c r="P26" i="15" s="1"/>
  <c r="N26" i="15"/>
  <c r="L18" i="15"/>
  <c r="M18" i="15"/>
  <c r="E4" i="2"/>
  <c r="O18" i="21" l="1"/>
  <c r="P18" i="21" s="1"/>
  <c r="N18" i="21"/>
  <c r="O18" i="20"/>
  <c r="P18" i="20" s="1"/>
  <c r="N18" i="20"/>
  <c r="O18" i="19"/>
  <c r="P18" i="19" s="1"/>
  <c r="N18" i="19"/>
  <c r="N18" i="17"/>
  <c r="O18" i="17"/>
  <c r="P18" i="17" s="1"/>
  <c r="O18" i="16"/>
  <c r="P18" i="16" s="1"/>
  <c r="N18" i="16"/>
  <c r="O18" i="15"/>
  <c r="P18" i="15" s="1"/>
  <c r="N18" i="15"/>
  <c r="A14" i="2"/>
  <c r="A13" i="2"/>
  <c r="N14" i="3" l="1"/>
  <c r="L14" i="3"/>
  <c r="J14" i="3"/>
  <c r="H14" i="3"/>
  <c r="F14" i="3"/>
  <c r="D14" i="3"/>
  <c r="P14" i="3"/>
  <c r="H17" i="3" l="1"/>
  <c r="D17" i="3"/>
  <c r="N17" i="3"/>
  <c r="J17" i="3"/>
  <c r="C26" i="3"/>
  <c r="A18" i="2"/>
  <c r="B26" i="3"/>
  <c r="B17" i="3"/>
  <c r="B18" i="3"/>
  <c r="C18" i="3" l="1"/>
  <c r="E26" i="3"/>
  <c r="D26" i="3"/>
  <c r="L17" i="3"/>
  <c r="P15" i="3"/>
  <c r="N11" i="3"/>
  <c r="F15" i="3"/>
  <c r="P8" i="3"/>
  <c r="F12" i="3"/>
  <c r="J12" i="3"/>
  <c r="N10" i="3"/>
  <c r="P12" i="3"/>
  <c r="L15" i="3"/>
  <c r="J11" i="3"/>
  <c r="D15" i="3"/>
  <c r="N9" i="3"/>
  <c r="D11" i="3"/>
  <c r="N12" i="3"/>
  <c r="P9" i="3"/>
  <c r="P11" i="3"/>
  <c r="D16" i="3"/>
  <c r="N8" i="3"/>
  <c r="D12" i="3"/>
  <c r="L12" i="3"/>
  <c r="H15" i="3"/>
  <c r="L10" i="3"/>
  <c r="N15" i="3"/>
  <c r="L11" i="3"/>
  <c r="L9" i="3"/>
  <c r="F11" i="3"/>
  <c r="H12" i="3"/>
  <c r="P10" i="3"/>
  <c r="L8" i="3"/>
  <c r="J15" i="3"/>
  <c r="H11" i="3"/>
  <c r="G26" i="3" l="1"/>
  <c r="F26" i="3"/>
  <c r="E18" i="3"/>
  <c r="D18" i="3"/>
  <c r="B29" i="3"/>
  <c r="B28" i="3"/>
  <c r="J10" i="3"/>
  <c r="H10" i="3"/>
  <c r="F10" i="3"/>
  <c r="D10" i="3"/>
  <c r="J9" i="3"/>
  <c r="H9" i="3"/>
  <c r="F9" i="3"/>
  <c r="D9" i="3"/>
  <c r="J8" i="3"/>
  <c r="H8" i="3"/>
  <c r="F8" i="3"/>
  <c r="D8" i="3"/>
  <c r="O7" i="3"/>
  <c r="O30" i="3" s="1"/>
  <c r="M7" i="3"/>
  <c r="M30" i="3" s="1"/>
  <c r="K7" i="3"/>
  <c r="K30" i="3" s="1"/>
  <c r="I7" i="3"/>
  <c r="I30" i="3" s="1"/>
  <c r="G7" i="3"/>
  <c r="G30" i="3" s="1"/>
  <c r="E7" i="3"/>
  <c r="E30" i="3" s="1"/>
  <c r="C7" i="3"/>
  <c r="C30" i="3" s="1"/>
  <c r="C25" i="2"/>
  <c r="D25" i="2" s="1"/>
  <c r="C24" i="2"/>
  <c r="D24" i="2" s="1"/>
  <c r="C23" i="2"/>
  <c r="D23" i="2" s="1"/>
  <c r="G18" i="3" l="1"/>
  <c r="F18" i="3"/>
  <c r="I26" i="3"/>
  <c r="H26" i="3"/>
  <c r="C26" i="2"/>
  <c r="C29" i="3" s="1"/>
  <c r="E29" i="3" s="1"/>
  <c r="G29" i="3" s="1"/>
  <c r="I29" i="3" s="1"/>
  <c r="K29" i="3" s="1"/>
  <c r="M29" i="3" s="1"/>
  <c r="O29" i="3" s="1"/>
  <c r="K26" i="3" l="1"/>
  <c r="J26" i="3"/>
  <c r="I18" i="3"/>
  <c r="H18" i="3"/>
  <c r="D26" i="2"/>
  <c r="H19" i="21" l="1"/>
  <c r="H24" i="21" s="1"/>
  <c r="F19" i="21"/>
  <c r="F24" i="21" s="1"/>
  <c r="D19" i="21"/>
  <c r="D24" i="21" s="1"/>
  <c r="P19" i="21"/>
  <c r="P24" i="21" s="1"/>
  <c r="N19" i="21"/>
  <c r="N24" i="21" s="1"/>
  <c r="L19" i="21"/>
  <c r="L24" i="21" s="1"/>
  <c r="J19" i="21"/>
  <c r="J24" i="21" s="1"/>
  <c r="H19" i="20"/>
  <c r="H24" i="20" s="1"/>
  <c r="F19" i="20"/>
  <c r="F24" i="20" s="1"/>
  <c r="D19" i="20"/>
  <c r="D24" i="20" s="1"/>
  <c r="P19" i="20"/>
  <c r="P24" i="20" s="1"/>
  <c r="N19" i="20"/>
  <c r="N24" i="20" s="1"/>
  <c r="L19" i="20"/>
  <c r="L24" i="20" s="1"/>
  <c r="J19" i="20"/>
  <c r="J24" i="20" s="1"/>
  <c r="H19" i="19"/>
  <c r="H24" i="19" s="1"/>
  <c r="F19" i="19"/>
  <c r="F24" i="19" s="1"/>
  <c r="D19" i="19"/>
  <c r="D24" i="19" s="1"/>
  <c r="N19" i="19"/>
  <c r="N24" i="19" s="1"/>
  <c r="P19" i="19"/>
  <c r="P24" i="19" s="1"/>
  <c r="J19" i="19"/>
  <c r="J24" i="19" s="1"/>
  <c r="L19" i="19"/>
  <c r="L24" i="19" s="1"/>
  <c r="H19" i="17"/>
  <c r="H24" i="17" s="1"/>
  <c r="F19" i="17"/>
  <c r="F24" i="17" s="1"/>
  <c r="D19" i="17"/>
  <c r="D24" i="17" s="1"/>
  <c r="P19" i="17"/>
  <c r="P24" i="17" s="1"/>
  <c r="N19" i="17"/>
  <c r="N24" i="17" s="1"/>
  <c r="L19" i="17"/>
  <c r="L24" i="17" s="1"/>
  <c r="J19" i="17"/>
  <c r="J24" i="17" s="1"/>
  <c r="H19" i="16"/>
  <c r="H24" i="16" s="1"/>
  <c r="F19" i="16"/>
  <c r="F24" i="16" s="1"/>
  <c r="D19" i="16"/>
  <c r="D24" i="16" s="1"/>
  <c r="P19" i="16"/>
  <c r="P24" i="16" s="1"/>
  <c r="N19" i="16"/>
  <c r="N24" i="16" s="1"/>
  <c r="L19" i="16"/>
  <c r="L24" i="16" s="1"/>
  <c r="J19" i="16"/>
  <c r="J24" i="16" s="1"/>
  <c r="H19" i="15"/>
  <c r="H24" i="15" s="1"/>
  <c r="H25" i="15" s="1"/>
  <c r="F19" i="15"/>
  <c r="F24" i="15" s="1"/>
  <c r="F25" i="15" s="1"/>
  <c r="D19" i="15"/>
  <c r="D24" i="15" s="1"/>
  <c r="D25" i="15" s="1"/>
  <c r="P19" i="15"/>
  <c r="P24" i="15" s="1"/>
  <c r="P25" i="15" s="1"/>
  <c r="N19" i="15"/>
  <c r="N24" i="15" s="1"/>
  <c r="N25" i="15" s="1"/>
  <c r="L19" i="15"/>
  <c r="L24" i="15" s="1"/>
  <c r="L25" i="15" s="1"/>
  <c r="J19" i="15"/>
  <c r="J24" i="15" s="1"/>
  <c r="J25" i="15" s="1"/>
  <c r="P19" i="3"/>
  <c r="K18" i="3"/>
  <c r="J18" i="3"/>
  <c r="M26" i="3"/>
  <c r="L26" i="3"/>
  <c r="L19" i="3"/>
  <c r="J19" i="3"/>
  <c r="H19" i="3"/>
  <c r="F19" i="3"/>
  <c r="D19" i="3"/>
  <c r="D24" i="3" s="1"/>
  <c r="N19" i="3"/>
  <c r="I24" i="21" l="1"/>
  <c r="I25" i="21" s="1"/>
  <c r="J25" i="21"/>
  <c r="K24" i="21"/>
  <c r="K25" i="21" s="1"/>
  <c r="L25" i="21"/>
  <c r="M24" i="21"/>
  <c r="M25" i="21" s="1"/>
  <c r="N25" i="21"/>
  <c r="O24" i="21"/>
  <c r="O25" i="21" s="1"/>
  <c r="P25" i="21"/>
  <c r="C27" i="21"/>
  <c r="E27" i="21" s="1"/>
  <c r="C24" i="21"/>
  <c r="C25" i="21" s="1"/>
  <c r="D25" i="21"/>
  <c r="E24" i="21"/>
  <c r="E25" i="21" s="1"/>
  <c r="F25" i="21"/>
  <c r="G24" i="21"/>
  <c r="G25" i="21" s="1"/>
  <c r="H25" i="21"/>
  <c r="G24" i="20"/>
  <c r="G25" i="20" s="1"/>
  <c r="H25" i="20"/>
  <c r="I24" i="20"/>
  <c r="I25" i="20" s="1"/>
  <c r="J25" i="20"/>
  <c r="K24" i="20"/>
  <c r="K25" i="20" s="1"/>
  <c r="L25" i="20"/>
  <c r="M24" i="20"/>
  <c r="M25" i="20" s="1"/>
  <c r="N25" i="20"/>
  <c r="C27" i="20"/>
  <c r="E27" i="20" s="1"/>
  <c r="C24" i="20"/>
  <c r="C25" i="20" s="1"/>
  <c r="D25" i="20"/>
  <c r="O24" i="20"/>
  <c r="O25" i="20" s="1"/>
  <c r="P25" i="20"/>
  <c r="E24" i="20"/>
  <c r="E25" i="20" s="1"/>
  <c r="F25" i="20"/>
  <c r="K24" i="19"/>
  <c r="K25" i="19" s="1"/>
  <c r="L25" i="19"/>
  <c r="I24" i="19"/>
  <c r="I25" i="19" s="1"/>
  <c r="J25" i="19"/>
  <c r="O24" i="19"/>
  <c r="O25" i="19" s="1"/>
  <c r="P25" i="19"/>
  <c r="N25" i="19"/>
  <c r="M24" i="19"/>
  <c r="M25" i="19" s="1"/>
  <c r="C27" i="19"/>
  <c r="E27" i="19" s="1"/>
  <c r="C24" i="19"/>
  <c r="C25" i="19" s="1"/>
  <c r="D25" i="19"/>
  <c r="E24" i="19"/>
  <c r="E25" i="19" s="1"/>
  <c r="F25" i="19"/>
  <c r="G24" i="19"/>
  <c r="G25" i="19" s="1"/>
  <c r="H25" i="19"/>
  <c r="I24" i="17"/>
  <c r="I25" i="17" s="1"/>
  <c r="J25" i="17"/>
  <c r="K24" i="17"/>
  <c r="K25" i="17" s="1"/>
  <c r="L25" i="17"/>
  <c r="M24" i="17"/>
  <c r="M25" i="17" s="1"/>
  <c r="N25" i="17"/>
  <c r="O24" i="17"/>
  <c r="O25" i="17" s="1"/>
  <c r="P25" i="17"/>
  <c r="C27" i="17"/>
  <c r="E27" i="17" s="1"/>
  <c r="C24" i="17"/>
  <c r="C25" i="17" s="1"/>
  <c r="D25" i="17"/>
  <c r="F25" i="17"/>
  <c r="E24" i="17"/>
  <c r="E25" i="17" s="1"/>
  <c r="G24" i="17"/>
  <c r="G25" i="17" s="1"/>
  <c r="H25" i="17"/>
  <c r="M24" i="16"/>
  <c r="M25" i="16" s="1"/>
  <c r="N25" i="16"/>
  <c r="O24" i="16"/>
  <c r="O25" i="16" s="1"/>
  <c r="P25" i="16"/>
  <c r="I24" i="16"/>
  <c r="I25" i="16" s="1"/>
  <c r="J25" i="16"/>
  <c r="K24" i="16"/>
  <c r="K25" i="16" s="1"/>
  <c r="L25" i="16"/>
  <c r="C27" i="16"/>
  <c r="E27" i="16" s="1"/>
  <c r="C24" i="16"/>
  <c r="C25" i="16" s="1"/>
  <c r="D25" i="16"/>
  <c r="E24" i="16"/>
  <c r="E25" i="16" s="1"/>
  <c r="F25" i="16"/>
  <c r="G24" i="16"/>
  <c r="G25" i="16" s="1"/>
  <c r="H25" i="16"/>
  <c r="I24" i="15"/>
  <c r="I25" i="15" s="1"/>
  <c r="O24" i="15"/>
  <c r="O25" i="15" s="1"/>
  <c r="C27" i="15"/>
  <c r="C24" i="15"/>
  <c r="C25" i="15" s="1"/>
  <c r="M24" i="15"/>
  <c r="M25" i="15" s="1"/>
  <c r="E24" i="15"/>
  <c r="E25" i="15" s="1"/>
  <c r="K24" i="15"/>
  <c r="K25" i="15" s="1"/>
  <c r="G24" i="15"/>
  <c r="G25" i="15" s="1"/>
  <c r="D25" i="3"/>
  <c r="O26" i="3"/>
  <c r="P26" i="3" s="1"/>
  <c r="N26" i="3"/>
  <c r="L18" i="3"/>
  <c r="M18" i="3"/>
  <c r="F27" i="21" l="1"/>
  <c r="E20" i="21"/>
  <c r="F20" i="21" s="1"/>
  <c r="G27" i="21"/>
  <c r="D27" i="21"/>
  <c r="C20" i="21"/>
  <c r="D20" i="21" s="1"/>
  <c r="D27" i="20"/>
  <c r="C20" i="20"/>
  <c r="D20" i="20" s="1"/>
  <c r="F27" i="20"/>
  <c r="E20" i="20"/>
  <c r="F20" i="20" s="1"/>
  <c r="G27" i="20"/>
  <c r="F27" i="19"/>
  <c r="E20" i="19"/>
  <c r="F20" i="19" s="1"/>
  <c r="D27" i="19"/>
  <c r="C20" i="19"/>
  <c r="D20" i="19" s="1"/>
  <c r="G27" i="19"/>
  <c r="F27" i="17"/>
  <c r="E20" i="17"/>
  <c r="F20" i="17" s="1"/>
  <c r="G27" i="17"/>
  <c r="D27" i="17"/>
  <c r="C20" i="17"/>
  <c r="D20" i="17" s="1"/>
  <c r="F27" i="16"/>
  <c r="E20" i="16"/>
  <c r="F20" i="16" s="1"/>
  <c r="G27" i="16"/>
  <c r="D27" i="16"/>
  <c r="C20" i="16"/>
  <c r="D20" i="16" s="1"/>
  <c r="D27" i="15"/>
  <c r="C20" i="15"/>
  <c r="D20" i="15" s="1"/>
  <c r="E27" i="15"/>
  <c r="O18" i="3"/>
  <c r="P18" i="3" s="1"/>
  <c r="N18" i="3"/>
  <c r="H27" i="21" l="1"/>
  <c r="G20" i="21"/>
  <c r="H20" i="21" s="1"/>
  <c r="I27" i="21"/>
  <c r="G20" i="20"/>
  <c r="H20" i="20" s="1"/>
  <c r="H27" i="20"/>
  <c r="I27" i="20"/>
  <c r="H27" i="19"/>
  <c r="G20" i="19"/>
  <c r="H20" i="19" s="1"/>
  <c r="I27" i="19"/>
  <c r="H27" i="17"/>
  <c r="G20" i="17"/>
  <c r="H20" i="17" s="1"/>
  <c r="I27" i="17"/>
  <c r="G20" i="16"/>
  <c r="H20" i="16" s="1"/>
  <c r="H27" i="16"/>
  <c r="I27" i="16"/>
  <c r="F27" i="15"/>
  <c r="E20" i="15"/>
  <c r="F20" i="15" s="1"/>
  <c r="G27" i="15"/>
  <c r="C4" i="3"/>
  <c r="J27" i="21" l="1"/>
  <c r="I20" i="21"/>
  <c r="J20" i="21" s="1"/>
  <c r="K27" i="21"/>
  <c r="J27" i="20"/>
  <c r="I20" i="20"/>
  <c r="J20" i="20" s="1"/>
  <c r="K27" i="20"/>
  <c r="J27" i="19"/>
  <c r="I20" i="19"/>
  <c r="J20" i="19" s="1"/>
  <c r="K27" i="19"/>
  <c r="J27" i="17"/>
  <c r="I20" i="17"/>
  <c r="J20" i="17" s="1"/>
  <c r="K27" i="17"/>
  <c r="J27" i="16"/>
  <c r="I20" i="16"/>
  <c r="J20" i="16" s="1"/>
  <c r="K27" i="16"/>
  <c r="G20" i="15"/>
  <c r="H20" i="15" s="1"/>
  <c r="H27" i="15"/>
  <c r="I27" i="15"/>
  <c r="F24" i="3"/>
  <c r="H24" i="3"/>
  <c r="P24" i="3"/>
  <c r="N24" i="3"/>
  <c r="L24" i="3"/>
  <c r="J24" i="3"/>
  <c r="L27" i="21" l="1"/>
  <c r="K20" i="21"/>
  <c r="L20" i="21" s="1"/>
  <c r="M27" i="21"/>
  <c r="L27" i="20"/>
  <c r="K20" i="20"/>
  <c r="L20" i="20" s="1"/>
  <c r="M27" i="20"/>
  <c r="L27" i="19"/>
  <c r="K20" i="19"/>
  <c r="L20" i="19" s="1"/>
  <c r="M27" i="19"/>
  <c r="L27" i="17"/>
  <c r="K20" i="17"/>
  <c r="L20" i="17" s="1"/>
  <c r="M27" i="17"/>
  <c r="L27" i="16"/>
  <c r="K20" i="16"/>
  <c r="L20" i="16" s="1"/>
  <c r="M27" i="16"/>
  <c r="J27" i="15"/>
  <c r="I20" i="15"/>
  <c r="J20" i="15" s="1"/>
  <c r="K27" i="15"/>
  <c r="N25" i="3"/>
  <c r="L25" i="3"/>
  <c r="J25" i="3"/>
  <c r="H25" i="3"/>
  <c r="F25" i="3"/>
  <c r="P25" i="3"/>
  <c r="I24" i="3"/>
  <c r="I25" i="3" s="1"/>
  <c r="C24" i="3"/>
  <c r="C25" i="3" s="1"/>
  <c r="C27" i="3"/>
  <c r="C20" i="3" s="1"/>
  <c r="M24" i="3"/>
  <c r="M25" i="3" s="1"/>
  <c r="G24" i="3"/>
  <c r="G25" i="3" s="1"/>
  <c r="K24" i="3"/>
  <c r="K25" i="3" s="1"/>
  <c r="O24" i="3"/>
  <c r="O25" i="3" s="1"/>
  <c r="E24" i="3"/>
  <c r="E25" i="3" s="1"/>
  <c r="N27" i="21" l="1"/>
  <c r="M20" i="21"/>
  <c r="N20" i="21" s="1"/>
  <c r="O27" i="21"/>
  <c r="N27" i="20"/>
  <c r="M20" i="20"/>
  <c r="N20" i="20" s="1"/>
  <c r="O27" i="20"/>
  <c r="N27" i="19"/>
  <c r="M20" i="19"/>
  <c r="N20" i="19" s="1"/>
  <c r="O27" i="19"/>
  <c r="N27" i="17"/>
  <c r="M20" i="17"/>
  <c r="N20" i="17" s="1"/>
  <c r="O27" i="17"/>
  <c r="N27" i="16"/>
  <c r="M20" i="16"/>
  <c r="N20" i="16" s="1"/>
  <c r="O27" i="16"/>
  <c r="L27" i="15"/>
  <c r="K20" i="15"/>
  <c r="L20" i="15" s="1"/>
  <c r="M27" i="15"/>
  <c r="D27" i="3"/>
  <c r="E27" i="3"/>
  <c r="E20" i="3" s="1"/>
  <c r="P27" i="21" l="1"/>
  <c r="O20" i="21"/>
  <c r="P20" i="21" s="1"/>
  <c r="O20" i="20"/>
  <c r="P20" i="20" s="1"/>
  <c r="P27" i="20"/>
  <c r="O20" i="19"/>
  <c r="P20" i="19" s="1"/>
  <c r="P27" i="19"/>
  <c r="P27" i="17"/>
  <c r="O20" i="17"/>
  <c r="P20" i="17" s="1"/>
  <c r="O20" i="16"/>
  <c r="P20" i="16" s="1"/>
  <c r="P27" i="16"/>
  <c r="N27" i="15"/>
  <c r="M20" i="15"/>
  <c r="N20" i="15" s="1"/>
  <c r="O27" i="15"/>
  <c r="D20" i="3"/>
  <c r="F27" i="3"/>
  <c r="G27" i="3"/>
  <c r="G20" i="3" s="1"/>
  <c r="O20" i="15" l="1"/>
  <c r="P20" i="15" s="1"/>
  <c r="P27" i="15"/>
  <c r="F20" i="3"/>
  <c r="H27" i="3"/>
  <c r="I27" i="3"/>
  <c r="I20" i="3" s="1"/>
  <c r="H20" i="3" l="1"/>
  <c r="J27" i="3"/>
  <c r="K27" i="3"/>
  <c r="K20" i="3" s="1"/>
  <c r="J20" i="3" l="1"/>
  <c r="L27" i="3"/>
  <c r="M27" i="3"/>
  <c r="M20" i="3" s="1"/>
  <c r="L20" i="3" l="1"/>
  <c r="N27" i="3"/>
  <c r="O27" i="3"/>
  <c r="O20" i="3" s="1"/>
  <c r="N20" i="3" l="1"/>
  <c r="P27" i="3"/>
  <c r="P20" i="3" l="1"/>
</calcChain>
</file>

<file path=xl/sharedStrings.xml><?xml version="1.0" encoding="utf-8"?>
<sst xmlns="http://schemas.openxmlformats.org/spreadsheetml/2006/main" count="947" uniqueCount="234">
  <si>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</si>
  <si>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</si>
  <si>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</si>
  <si>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</si>
  <si>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</si>
  <si>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</si>
  <si>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</si>
  <si>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</si>
  <si>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</si>
  <si>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</si>
  <si>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</si>
  <si>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</si>
  <si>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</si>
  <si>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</si>
  <si>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</si>
  <si>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</si>
  <si>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</si>
  <si>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</si>
  <si>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</si>
  <si>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</si>
  <si>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</si>
  <si>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</si>
  <si>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</si>
  <si>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</si>
  <si>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</si>
  <si>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</si>
  <si>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</si>
  <si>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</si>
  <si>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</si>
  <si>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</si>
  <si>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</si>
  <si>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</si>
  <si>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</si>
  <si>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</si>
  <si>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风险提示</t>
    <phoneticPr fontId="7" type="noConversion"/>
  </si>
  <si>
    <t>免费基金</t>
    <phoneticPr fontId="7" type="noConversion"/>
  </si>
  <si>
    <t>活动签到</t>
    <phoneticPr fontId="7" type="noConversion"/>
  </si>
  <si>
    <t>氪金礼包</t>
    <phoneticPr fontId="7" type="noConversion"/>
  </si>
  <si>
    <t>氪金基金</t>
    <phoneticPr fontId="7" type="noConversion"/>
  </si>
  <si>
    <t>首次登录</t>
    <phoneticPr fontId="7" type="noConversion"/>
  </si>
  <si>
    <t>？</t>
    <phoneticPr fontId="7" type="noConversion"/>
  </si>
  <si>
    <t>总随机箱</t>
    <phoneticPr fontId="7" type="noConversion"/>
  </si>
  <si>
    <t>广告观看</t>
    <phoneticPr fontId="7" type="noConversion"/>
  </si>
  <si>
    <t>橙秘宝自选箱×1</t>
  </si>
  <si>
    <t>限定烙印自选箱×1</t>
  </si>
  <si>
    <t>S史诗传承自选箱×1</t>
  </si>
  <si>
    <t>连携祝福卷轴×1</t>
  </si>
  <si>
    <t>置换符×1</t>
  </si>
  <si>
    <t>天外陨铁×10</t>
  </si>
  <si>
    <t>随机英杰箱×1</t>
  </si>
  <si>
    <t>史诗传承自选箱×1</t>
  </si>
  <si>
    <t>传承书自选箱×1</t>
  </si>
  <si>
    <t>祈愿函×5</t>
  </si>
  <si>
    <t>传说钥匙×5</t>
  </si>
  <si>
    <t>宝石钥匙×5</t>
  </si>
  <si>
    <t>秘宝钥匙×5</t>
  </si>
  <si>
    <t>英杰契约×1</t>
  </si>
  <si>
    <t>消耗内容</t>
  </si>
  <si>
    <t>获得内容</t>
  </si>
  <si>
    <t>限购次数</t>
  </si>
  <si>
    <t>高级兑换</t>
    <phoneticPr fontId="7" type="noConversion"/>
  </si>
  <si>
    <t>普通兑换</t>
    <phoneticPr fontId="7" type="noConversion"/>
  </si>
  <si>
    <t>卡皮筹码×5</t>
  </si>
  <si>
    <t>主线第150章生存1天；开服179天</t>
  </si>
  <si>
    <t>精力×10</t>
  </si>
  <si>
    <t>限制条件</t>
    <phoneticPr fontId="7" type="noConversion"/>
  </si>
  <si>
    <t>公式</t>
    <phoneticPr fontId="7" type="noConversion"/>
  </si>
  <si>
    <t>结果</t>
    <phoneticPr fontId="7" type="noConversion"/>
  </si>
  <si>
    <t>项目</t>
    <phoneticPr fontId="7" type="noConversion"/>
  </si>
  <si>
    <t>抽奖期望统计（各项目/1抽奖币）</t>
    <phoneticPr fontId="7" type="noConversion"/>
  </si>
  <si>
    <t>臻选皮肤自选箱×1</t>
  </si>
  <si>
    <t>家园币×50</t>
  </si>
  <si>
    <t>档位积分</t>
    <phoneticPr fontId="7" type="noConversion"/>
  </si>
  <si>
    <t>积分兑换</t>
    <phoneticPr fontId="7" type="noConversion"/>
  </si>
  <si>
    <t>神兵魔方×60</t>
  </si>
  <si>
    <t>高级炼金试剂×400</t>
  </si>
  <si>
    <t>不变石×200</t>
  </si>
  <si>
    <t>极化晶石×200</t>
  </si>
  <si>
    <t>觉醒核心自选箱×1</t>
  </si>
  <si>
    <t>限定藏品自选箱×1</t>
  </si>
  <si>
    <t>S武器自选箱×1</t>
  </si>
  <si>
    <t>S装备自选箱×1</t>
  </si>
  <si>
    <t>幸运银币×3</t>
  </si>
  <si>
    <t>天外陨铁×100</t>
  </si>
  <si>
    <t>不变石×1</t>
  </si>
  <si>
    <t>金蹄铁×50</t>
  </si>
  <si>
    <t>神威锤×50</t>
  </si>
  <si>
    <t>实测+脚本模拟</t>
    <phoneticPr fontId="7" type="noConversion"/>
  </si>
  <si>
    <t>觉醒核心自选箱×1</t>
    <phoneticPr fontId="7" type="noConversion"/>
  </si>
  <si>
    <t>价格</t>
    <phoneticPr fontId="7" type="noConversion"/>
  </si>
  <si>
    <t>翡翠</t>
    <phoneticPr fontId="7" type="noConversion"/>
  </si>
  <si>
    <t>每日限购</t>
    <phoneticPr fontId="7" type="noConversion"/>
  </si>
  <si>
    <t>翡翠性价比</t>
    <phoneticPr fontId="7" type="noConversion"/>
  </si>
  <si>
    <t>活动天数</t>
    <phoneticPr fontId="7" type="noConversion"/>
  </si>
  <si>
    <t>全部统计</t>
    <phoneticPr fontId="7" type="noConversion"/>
  </si>
  <si>
    <t>积分来源</t>
    <phoneticPr fontId="7" type="noConversion"/>
  </si>
  <si>
    <t>购买次数</t>
    <phoneticPr fontId="7" type="noConversion"/>
  </si>
  <si>
    <t>礼包选择</t>
    <phoneticPr fontId="7" type="noConversion"/>
  </si>
  <si>
    <t>当前档位积分</t>
    <phoneticPr fontId="7" type="noConversion"/>
  </si>
  <si>
    <t>溢出/缺少积分</t>
    <phoneticPr fontId="7" type="noConversion"/>
  </si>
  <si>
    <t>桂香糕×5</t>
  </si>
  <si>
    <t>桂香糕×6</t>
  </si>
  <si>
    <t>桂香糕×9</t>
  </si>
  <si>
    <t>桂香糕×10</t>
  </si>
  <si>
    <t>桂香糕×15</t>
  </si>
  <si>
    <t>天外陨铁×75</t>
  </si>
  <si>
    <t>月华糕×1</t>
  </si>
  <si>
    <t>随机神话宝石箱×1</t>
  </si>
  <si>
    <t>月华糕×2</t>
  </si>
  <si>
    <t>月华糕×5</t>
  </si>
  <si>
    <t>月华糕×9</t>
  </si>
  <si>
    <t>桂香糕×40</t>
  </si>
  <si>
    <t>月华糕×10</t>
  </si>
  <si>
    <t>桂香糕×50</t>
  </si>
  <si>
    <t>桂香糕×70</t>
  </si>
  <si>
    <t>桂香糕×90</t>
  </si>
  <si>
    <t>神兵魔方×3</t>
    <phoneticPr fontId="7" type="noConversion"/>
  </si>
  <si>
    <t>桂香糕×100</t>
  </si>
  <si>
    <t>月华糕×25</t>
  </si>
  <si>
    <t>桂香糕×125</t>
  </si>
  <si>
    <t>月华糕×40</t>
  </si>
  <si>
    <t>桂香糕×240</t>
  </si>
  <si>
    <t>苏苏×1</t>
  </si>
  <si>
    <t>桂香糕×29</t>
  </si>
  <si>
    <t>桂香糕×420</t>
  </si>
  <si>
    <t>桂香糕×550</t>
  </si>
  <si>
    <t>吴王夫差剑×1</t>
    <phoneticPr fontId="7" type="noConversion"/>
  </si>
  <si>
    <t>桂香糕×120</t>
  </si>
  <si>
    <t>图坦卡蒙匕首×1</t>
    <phoneticPr fontId="7" type="noConversion"/>
  </si>
  <si>
    <t>SS限定烙印自选箱×1</t>
    <phoneticPr fontId="7" type="noConversion"/>
  </si>
  <si>
    <t>桂香糕×420</t>
    <phoneticPr fontId="7" type="noConversion"/>
  </si>
  <si>
    <t>盛世华匣×1</t>
    <phoneticPr fontId="7" type="noConversion"/>
  </si>
  <si>
    <t>月华糕×20</t>
  </si>
  <si>
    <t>随机骰子</t>
    <phoneticPr fontId="7" type="noConversion"/>
  </si>
  <si>
    <t>桂香糕</t>
  </si>
  <si>
    <t>月华糕</t>
    <phoneticPr fontId="7" type="noConversion"/>
  </si>
  <si>
    <t>1圈</t>
    <phoneticPr fontId="7" type="noConversion"/>
  </si>
  <si>
    <t>积分</t>
    <phoneticPr fontId="7" type="noConversion"/>
  </si>
  <si>
    <t>1圈积分</t>
    <phoneticPr fontId="7" type="noConversion"/>
  </si>
  <si>
    <t>1圈棋盘(格)</t>
    <phoneticPr fontId="7" type="noConversion"/>
  </si>
  <si>
    <t>每格积分</t>
    <phoneticPr fontId="7" type="noConversion"/>
  </si>
  <si>
    <t>平均点数</t>
    <phoneticPr fontId="7" type="noConversion"/>
  </si>
  <si>
    <t>X骰子/圈</t>
    <phoneticPr fontId="7" type="noConversion"/>
  </si>
  <si>
    <t>积分/骰子</t>
    <phoneticPr fontId="7" type="noConversion"/>
  </si>
  <si>
    <t>备注</t>
    <phoneticPr fontId="7" type="noConversion"/>
  </si>
  <si>
    <t>价格(元)</t>
    <phoneticPr fontId="7" type="noConversion"/>
  </si>
  <si>
    <t>钻石购买</t>
    <phoneticPr fontId="7" type="noConversion"/>
  </si>
  <si>
    <t>免费基金</t>
    <phoneticPr fontId="7" type="noConversion"/>
  </si>
  <si>
    <t>氪金基金</t>
    <phoneticPr fontId="7" type="noConversion"/>
  </si>
  <si>
    <t>基金</t>
    <phoneticPr fontId="7" type="noConversion"/>
  </si>
  <si>
    <t>活动限购</t>
    <phoneticPr fontId="7" type="noConversion"/>
  </si>
  <si>
    <t>付费</t>
    <phoneticPr fontId="7" type="noConversion"/>
  </si>
  <si>
    <t>免费</t>
    <phoneticPr fontId="7" type="noConversion"/>
  </si>
  <si>
    <t>可兑换道具</t>
    <phoneticPr fontId="7" type="noConversion"/>
  </si>
  <si>
    <t>盛世华匣×1 + SS限定烙印自选箱×1 + 觉醒核心自选箱×1</t>
    <phoneticPr fontId="7" type="noConversion"/>
  </si>
  <si>
    <t>特殊日</t>
    <phoneticPr fontId="7" type="noConversion"/>
  </si>
  <si>
    <t>每日操作①</t>
    <phoneticPr fontId="7" type="noConversion"/>
  </si>
  <si>
    <t>每日操作②</t>
    <phoneticPr fontId="7" type="noConversion"/>
  </si>
  <si>
    <t>每日操作③</t>
    <phoneticPr fontId="7" type="noConversion"/>
  </si>
  <si>
    <t>每日操作④</t>
    <phoneticPr fontId="7" type="noConversion"/>
  </si>
  <si>
    <t>每日操作⑤</t>
    <phoneticPr fontId="7" type="noConversion"/>
  </si>
  <si>
    <t>收尾日</t>
    <phoneticPr fontId="7" type="noConversion"/>
  </si>
  <si>
    <t>任务30骰子+钻石购买70骰子</t>
    <phoneticPr fontId="7" type="noConversion"/>
  </si>
  <si>
    <t>看广告2骰子</t>
    <phoneticPr fontId="7" type="noConversion"/>
  </si>
  <si>
    <t>今日不用骰子</t>
    <phoneticPr fontId="7" type="noConversion"/>
  </si>
  <si>
    <t>用714骰子转约83圈</t>
    <phoneticPr fontId="7" type="noConversion"/>
  </si>
  <si>
    <t>领免费基金75骰子继续转约8圈</t>
    <phoneticPr fontId="7" type="noConversion"/>
  </si>
  <si>
    <t>这次的SS限定烙印箱没有开服天数180天的兑换限制</t>
    <phoneticPr fontId="7" type="noConversion"/>
  </si>
  <si>
    <t>若骰子1~6点数均为1/6概率，则每圈约8.6骰子。第7天至少需走89圈冲4档，理论走92圈（有翻车几率）</t>
    <phoneticPr fontId="7" type="noConversion"/>
  </si>
  <si>
    <t>标题</t>
    <phoneticPr fontId="7" type="noConversion"/>
  </si>
  <si>
    <t>需要自己改动的位置</t>
    <phoneticPr fontId="7" type="noConversion"/>
  </si>
  <si>
    <t>可兑换道具</t>
    <phoneticPr fontId="7" type="noConversion"/>
  </si>
  <si>
    <t>广告</t>
    <phoneticPr fontId="7" type="noConversion"/>
  </si>
  <si>
    <t>每日固定获得</t>
    <phoneticPr fontId="7" type="noConversion"/>
  </si>
  <si>
    <t>任务</t>
    <phoneticPr fontId="7" type="noConversion"/>
  </si>
  <si>
    <t>每日骰子使用数量</t>
    <phoneticPr fontId="7" type="noConversion"/>
  </si>
  <si>
    <t>每日钻石购买数量</t>
    <phoneticPr fontId="7" type="noConversion"/>
  </si>
  <si>
    <t>每日随机箱使用数量</t>
    <phoneticPr fontId="7" type="noConversion"/>
  </si>
  <si>
    <t>用掉27随机箱</t>
    <phoneticPr fontId="7" type="noConversion"/>
  </si>
  <si>
    <t>商店兑换数量</t>
    <phoneticPr fontId="7" type="noConversion"/>
  </si>
  <si>
    <t>特殊日的名字</t>
    <phoneticPr fontId="7" type="noConversion"/>
  </si>
  <si>
    <t>每日操作</t>
    <phoneticPr fontId="7" type="noConversion"/>
  </si>
  <si>
    <t>风险和提示</t>
    <phoneticPr fontId="7" type="noConversion"/>
  </si>
  <si>
    <t>氪金项目的购买次数</t>
    <phoneticPr fontId="7" type="noConversion"/>
  </si>
  <si>
    <t>自我检查</t>
    <phoneticPr fontId="7" type="noConversion"/>
  </si>
  <si>
    <t>礼包选择</t>
    <phoneticPr fontId="7" type="noConversion"/>
  </si>
  <si>
    <t>月夜漫游｜4.9万钻拉满攻略</t>
    <phoneticPr fontId="7" type="noConversion"/>
  </si>
  <si>
    <t>图坦卡蒙匕首×1 或 吴王夫差剑×1+ SS限定烙印自选箱×1 + 觉醒核心自选箱×1</t>
    <phoneticPr fontId="7" type="noConversion"/>
  </si>
  <si>
    <t>氪金随机骰子礼包Ⅰ</t>
    <phoneticPr fontId="7" type="noConversion"/>
  </si>
  <si>
    <t>月夜漫游｜1秘宝4500翡翠攻略</t>
    <phoneticPr fontId="7" type="noConversion"/>
  </si>
  <si>
    <t>氪金随机骰子礼包Ⅰ、Ⅲ得120骰子、再氪基金</t>
    <phoneticPr fontId="7" type="noConversion"/>
  </si>
  <si>
    <t>用完所有骰子和随机箱</t>
    <phoneticPr fontId="7" type="noConversion"/>
  </si>
  <si>
    <t>还有一个4000翡翠的理论最省钱方案，但极易翻车，此处不做推荐</t>
    <phoneticPr fontId="7" type="noConversion"/>
  </si>
  <si>
    <t>氪金日</t>
    <phoneticPr fontId="7" type="noConversion"/>
  </si>
  <si>
    <t>注意第7天氪的是骰子礼包1和3。直接跳过礼包2了，不要氪错了</t>
    <phoneticPr fontId="7" type="noConversion"/>
  </si>
  <si>
    <t>氪金随机骰子礼包Ⅰ、Ⅱ</t>
    <phoneticPr fontId="7" type="noConversion"/>
  </si>
  <si>
    <t>月夜漫游｜1秘宝+1藏品11000翡翠攻略</t>
    <phoneticPr fontId="7" type="noConversion"/>
  </si>
  <si>
    <t>氪金随机骰子礼包Ⅰ、Ⅱ得120骰子、再氪基金</t>
    <phoneticPr fontId="7" type="noConversion"/>
  </si>
  <si>
    <t>氪金月华糕礼包Ⅰ、Ⅲ得12个月华糕</t>
    <phoneticPr fontId="7" type="noConversion"/>
  </si>
  <si>
    <t>氪金月华糕礼包Ⅰ、Ⅲ、Ⅳ得32个月华糕</t>
    <phoneticPr fontId="7" type="noConversion"/>
  </si>
  <si>
    <t>月夜漫游｜2秘宝21000翡翠攻略</t>
    <phoneticPr fontId="7" type="noConversion"/>
  </si>
  <si>
    <t>图坦卡蒙匕首×1 + 吴王夫差剑×1+ SS限定烙印自选箱×1 + 觉醒核心自选箱×2</t>
    <phoneticPr fontId="7" type="noConversion"/>
  </si>
  <si>
    <t>图坦卡蒙匕首×1 或 吴王夫差剑×1+ 盛世华匣×1 +SS限定烙印自选箱×1+觉醒核心自选箱×2</t>
    <phoneticPr fontId="7" type="noConversion"/>
  </si>
  <si>
    <t>高级炼金试剂×10</t>
    <phoneticPr fontId="7" type="noConversion"/>
  </si>
  <si>
    <t>任务30骰子+钻石购买10骰子</t>
    <phoneticPr fontId="7" type="noConversion"/>
  </si>
  <si>
    <t>用约9骰子转1圈</t>
    <phoneticPr fontId="7" type="noConversion"/>
  </si>
  <si>
    <t xml:space="preserve"> SS限定烙印自选箱×1+神兵魔方×15+ 高级炼金试剂×30</t>
    <phoneticPr fontId="7" type="noConversion"/>
  </si>
  <si>
    <t>月夜漫游｜1.3万钻(550桂香糕)攻略</t>
    <phoneticPr fontId="7" type="noConversion"/>
  </si>
  <si>
    <t xml:space="preserve"> 觉醒核心自选箱×1+神兵魔方×15+ 高级炼金试剂×70</t>
    <phoneticPr fontId="7" type="noConversion"/>
  </si>
  <si>
    <t>月夜漫游｜3000钻(420桂香糕)攻略</t>
    <phoneticPr fontId="7" type="noConversion"/>
  </si>
  <si>
    <t>任务30骰子</t>
    <phoneticPr fontId="7" type="noConversion"/>
  </si>
  <si>
    <t>领取基金并用掉全部骰子</t>
    <phoneticPr fontId="7" type="noConversion"/>
  </si>
  <si>
    <t>先领基金拿15个骰子</t>
    <phoneticPr fontId="7" type="noConversion"/>
  </si>
  <si>
    <t>用约249骰子转29圈</t>
    <phoneticPr fontId="7" type="noConversion"/>
  </si>
  <si>
    <t>领基金剩余60骰子</t>
    <phoneticPr fontId="7" type="noConversion"/>
  </si>
  <si>
    <t>用掉全部骰子+随机箱</t>
    <phoneticPr fontId="7" type="noConversion"/>
  </si>
  <si>
    <t>若还想换其他物品可第7天额外购买骰子；理论为1骰子=1.31桂香糕</t>
    <phoneticPr fontId="7" type="noConversion"/>
  </si>
  <si>
    <t>若不足420桂香糕可第7天额外购买骰子；理论为1骰子=1.31桂香糕</t>
    <phoneticPr fontId="7" type="noConversion"/>
  </si>
  <si>
    <t>用完1139骰子和随机箱</t>
    <phoneticPr fontId="7" type="noConversion"/>
  </si>
  <si>
    <t>图坦卡蒙匕首×1 + 吴王夫差剑×1+ 盛世华匣×1 + 觉醒核心自选箱×2</t>
    <phoneticPr fontId="7" type="noConversion"/>
  </si>
  <si>
    <t>假设卡皮的骰子1~6都是正常的1/6概率，则每次骰子点数为(1+2+3+4+5+6)/6=3.5。走完1圈需要30/3.5=8.57骰子</t>
    <phoneticPr fontId="7" type="noConversion"/>
  </si>
  <si>
    <t>用约1046骰子转122圈</t>
    <phoneticPr fontId="7" type="noConversion"/>
  </si>
  <si>
    <t>氪金随机骰子礼包Ⅰ、Ⅱ、Ⅲ得165骰子</t>
    <phoneticPr fontId="7" type="noConversion"/>
  </si>
  <si>
    <t xml:space="preserve">氪金随机骰子礼包Ⅰ、Ⅱ、Ⅲ、Ⅳ得315骰子 </t>
    <phoneticPr fontId="7" type="noConversion"/>
  </si>
  <si>
    <t>氪基金并领取215骰子</t>
    <phoneticPr fontId="7" type="noConversion"/>
  </si>
  <si>
    <t>任务30骰子+钻石购买70骰子+广告2骰子</t>
    <phoneticPr fontId="7" type="noConversion"/>
  </si>
  <si>
    <t>用完全部753骰子</t>
    <phoneticPr fontId="7" type="noConversion"/>
  </si>
  <si>
    <t>氪金月华糕礼包Ⅱ 2次得8个月华糕</t>
    <phoneticPr fontId="7" type="noConversion"/>
  </si>
  <si>
    <t>氪金随机骰子礼包Ⅰ、Ⅱ得75骰子</t>
    <phoneticPr fontId="7" type="noConversion"/>
  </si>
  <si>
    <t>月夜漫游｜2秘宝+1藏品30000翡翠攻略</t>
    <phoneticPr fontId="7" type="noConversion"/>
  </si>
  <si>
    <t>注意第7天可以先开随机箱，看差几个月华糕再去买月华糕礼包</t>
    <phoneticPr fontId="7" type="noConversion"/>
  </si>
  <si>
    <t>领取基金总共215骰子</t>
    <phoneticPr fontId="7" type="noConversion"/>
  </si>
  <si>
    <t>用完全部骰子+随机箱</t>
    <phoneticPr fontId="7" type="noConversion"/>
  </si>
  <si>
    <t>注意第7天可以先开随机箱，看差几个月华糕再去买月华糕礼包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</si>
</sst>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0.000"/>
  </numFmts>
  <fonts count="15">
    <font>
      <sz val="11"/>
      <color theme="1"/>
      <name val="等线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CE4D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8">
    <xf numFmtId="0" fontId="0" fillId="0" borderId="0"/>
    <xf numFmtId="0" fontId="3" fillId="0" borderId="0"/>
    <xf numFmtId="0" fontId="4" fillId="0" borderId="0"/>
    <xf numFmtId="0" fontId="4" fillId="0" borderId="0"/>
    <xf numFmtId="0" fontId="3" fillId="0" borderId="14"/>
    <xf numFmtId="0" fontId="3" fillId="0" borderId="14"/>
    <xf numFmtId="0" fontId="4" fillId="0" borderId="14"/>
    <xf numFmtId="0" fontId="4" fillId="0" borderId="14"/>
  </cellStyleXfs>
  <cellXfs count="177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177" fontId="1" fillId="3" borderId="13" xfId="0" applyNumberFormat="1" applyFont="1" applyFill="1" applyBorder="1" applyAlignment="1">
      <alignment horizontal="center"/>
    </xf>
    <xf numFmtId="177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/>
    </xf>
    <xf numFmtId="0" fontId="1" fillId="0" borderId="14" xfId="0" applyFont="1" applyBorder="1" applyAlignment="1">
      <alignment vertical="center" wrapText="1"/>
    </xf>
    <xf numFmtId="0" fontId="1" fillId="0" borderId="14" xfId="5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2" fillId="22" borderId="10" xfId="0" applyFont="1" applyFill="1" applyBorder="1" applyAlignment="1">
      <alignment horizontal="center"/>
    </xf>
    <xf numFmtId="1" fontId="1" fillId="0" borderId="14" xfId="5" applyNumberFormat="1" applyFont="1" applyAlignment="1">
      <alignment horizontal="center" vertical="center"/>
    </xf>
    <xf numFmtId="0" fontId="8" fillId="0" borderId="14" xfId="5" applyFont="1" applyAlignment="1">
      <alignment horizontal="center" vertical="center" wrapText="1"/>
    </xf>
    <xf numFmtId="0" fontId="5" fillId="0" borderId="14" xfId="7" applyFont="1" applyAlignment="1">
      <alignment horizontal="center" vertical="center"/>
    </xf>
    <xf numFmtId="0" fontId="1" fillId="0" borderId="18" xfId="5" applyFont="1" applyBorder="1" applyAlignment="1">
      <alignment horizontal="center" vertical="center" wrapText="1"/>
    </xf>
    <xf numFmtId="0" fontId="1" fillId="0" borderId="18" xfId="5" applyFont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horizontal="center" vertical="center" wrapText="1"/>
    </xf>
    <xf numFmtId="0" fontId="1" fillId="21" borderId="3" xfId="0" applyFont="1" applyFill="1" applyBorder="1" applyAlignment="1">
      <alignment horizontal="center" vertical="center" wrapText="1"/>
    </xf>
    <xf numFmtId="2" fontId="1" fillId="0" borderId="14" xfId="0" applyNumberFormat="1" applyFont="1" applyBorder="1" applyAlignment="1">
      <alignment horizontal="center" vertical="center" wrapText="1"/>
    </xf>
    <xf numFmtId="178" fontId="1" fillId="0" borderId="8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1" fontId="1" fillId="24" borderId="1" xfId="0" applyNumberFormat="1" applyFont="1" applyFill="1" applyBorder="1" applyAlignment="1">
      <alignment horizontal="center"/>
    </xf>
    <xf numFmtId="177" fontId="1" fillId="25" borderId="3" xfId="0" applyNumberFormat="1" applyFont="1" applyFill="1" applyBorder="1" applyAlignment="1">
      <alignment horizontal="center"/>
    </xf>
    <xf numFmtId="177" fontId="1" fillId="0" borderId="5" xfId="0" applyNumberFormat="1" applyFont="1" applyBorder="1" applyAlignment="1">
      <alignment horizontal="center"/>
    </xf>
    <xf numFmtId="0" fontId="2" fillId="26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 wrapText="1"/>
    </xf>
    <xf numFmtId="0" fontId="2" fillId="20" borderId="10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9" borderId="18" xfId="0" applyFont="1" applyFill="1" applyBorder="1" applyAlignment="1">
      <alignment horizontal="center" vertical="center"/>
    </xf>
    <xf numFmtId="0" fontId="1" fillId="30" borderId="4" xfId="0" applyFont="1" applyFill="1" applyBorder="1" applyAlignment="1">
      <alignment horizontal="center" vertical="center" wrapText="1"/>
    </xf>
    <xf numFmtId="0" fontId="1" fillId="30" borderId="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7" fontId="1" fillId="24" borderId="1" xfId="0" applyNumberFormat="1" applyFont="1" applyFill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28" borderId="12" xfId="0" applyFont="1" applyFill="1" applyBorder="1" applyAlignment="1">
      <alignment horizontal="center" vertical="center"/>
    </xf>
    <xf numFmtId="0" fontId="13" fillId="28" borderId="19" xfId="0" applyFont="1" applyFill="1" applyBorder="1" applyAlignment="1">
      <alignment horizontal="center" vertical="center"/>
    </xf>
    <xf numFmtId="0" fontId="13" fillId="28" borderId="1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/>
    </xf>
    <xf numFmtId="0" fontId="10" fillId="21" borderId="7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0" fillId="27" borderId="12" xfId="0" applyFont="1" applyFill="1" applyBorder="1" applyAlignment="1">
      <alignment horizontal="center" vertical="center"/>
    </xf>
    <xf numFmtId="0" fontId="10" fillId="27" borderId="19" xfId="0" applyFont="1" applyFill="1" applyBorder="1" applyAlignment="1">
      <alignment horizontal="center" vertical="center"/>
    </xf>
    <xf numFmtId="0" fontId="10" fillId="27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29" borderId="9" xfId="0" applyFont="1" applyFill="1" applyBorder="1" applyAlignment="1">
      <alignment horizontal="center" vertical="center"/>
    </xf>
    <xf numFmtId="0" fontId="1" fillId="29" borderId="10" xfId="0" applyFont="1" applyFill="1" applyBorder="1" applyAlignment="1">
      <alignment horizontal="center" vertical="center"/>
    </xf>
    <xf numFmtId="0" fontId="1" fillId="29" borderId="11" xfId="0" applyFont="1" applyFill="1" applyBorder="1" applyAlignment="1">
      <alignment horizontal="center" vertical="center"/>
    </xf>
    <xf numFmtId="0" fontId="2" fillId="26" borderId="9" xfId="0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31" borderId="18" xfId="5" applyFont="1" applyFill="1" applyBorder="1" applyAlignment="1">
      <alignment horizontal="center" vertical="center" wrapText="1"/>
    </xf>
    <xf numFmtId="0" fontId="1" fillId="32" borderId="12" xfId="5" applyFont="1" applyFill="1" applyBorder="1" applyAlignment="1">
      <alignment horizontal="center" vertical="center" wrapText="1"/>
    </xf>
    <xf numFmtId="0" fontId="1" fillId="32" borderId="19" xfId="5" applyFont="1" applyFill="1" applyBorder="1" applyAlignment="1">
      <alignment horizontal="center" vertical="center" wrapText="1"/>
    </xf>
    <xf numFmtId="0" fontId="1" fillId="32" borderId="13" xfId="5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10" fontId="1" fillId="0" borderId="14" xfId="0" applyNumberFormat="1" applyFont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3" borderId="3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/>
    </xf>
  </cellXfs>
  <cellStyles count="8">
    <cellStyle name="Normal" xfId="2" xr:uid="{00000000-0005-0000-0000-000000000000}"/>
    <cellStyle name="Normal 2" xfId="6" xr:uid="{2C40627B-0060-4377-8A91-AFF8178D0484}"/>
    <cellStyle name="常规" xfId="0" builtinId="0"/>
    <cellStyle name="常规 2" xfId="1" xr:uid="{00000000-0005-0000-0000-000002000000}"/>
    <cellStyle name="常规 2 2" xfId="5" xr:uid="{76FFBABE-9117-4AF1-9EA3-CA10B242D942}"/>
    <cellStyle name="常规 3" xfId="3" xr:uid="{00000000-0005-0000-0000-000003000000}"/>
    <cellStyle name="常规 3 2" xfId="7" xr:uid="{89081A53-DE0B-4B56-A1DA-488106F0CF98}"/>
    <cellStyle name="常规 4" xfId="4" xr:uid="{14A84218-D7CA-4C62-A65E-8A46BB85F092}"/>
  </cellStyles>
  <dxfs count="84"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B3FFE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9999"/>
      <color rgb="FFFF6600"/>
      <color rgb="FFFF8B8B"/>
      <color rgb="FFFFCCFF"/>
      <color rgb="FFB00000"/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18B5-9BE6-4392-988F-E7B21D1B492B}">
  <dimension ref="B1:L35"/>
  <sheetViews>
    <sheetView workbookViewId="0">
      <selection activeCell="C3" sqref="C3"/>
    </sheetView>
  </sheetViews>
  <sheetFormatPr defaultRowHeight="15.6"/>
  <cols>
    <col min="1" max="1" width="8.88671875" style="54"/>
    <col min="2" max="2" width="19.5546875" style="54" customWidth="1"/>
    <col min="3" max="3" width="26.88671875" style="54" bestFit="1" customWidth="1"/>
    <col min="4" max="4" width="9.5546875" style="54" bestFit="1" customWidth="1"/>
    <col min="5" max="5" width="17.88671875" style="54" bestFit="1" customWidth="1"/>
    <col min="6" max="6" width="10.44140625" style="54" customWidth="1"/>
    <col min="7" max="7" width="23.44140625" style="54" bestFit="1" customWidth="1"/>
    <col min="8" max="8" width="20.44140625" style="54" customWidth="1"/>
    <col min="9" max="9" width="8.88671875" style="54"/>
    <col min="10" max="10" width="22.33203125" style="54" customWidth="1"/>
    <col min="11" max="11" width="11.5546875" style="54" customWidth="1"/>
    <col min="12" max="12" width="12.33203125" style="54" customWidth="1"/>
    <col min="13" max="14" width="10" style="54" customWidth="1"/>
    <col min="15" max="16384" width="8.88671875" style="54"/>
  </cols>
  <sheetData>
    <row r="1" spans="2:12" ht="16.8" thickTop="1" thickBot="1">
      <c r="B1" s="149" t="s">
        <v>60</v>
      </c>
      <c r="C1" s="150"/>
      <c r="D1" s="150"/>
      <c r="E1" s="151"/>
      <c r="G1" s="148" t="s">
        <v>61</v>
      </c>
      <c r="H1" s="148"/>
      <c r="I1" s="148"/>
      <c r="J1" s="148"/>
    </row>
    <row r="2" spans="2:12" ht="16.8" thickTop="1" thickBot="1">
      <c r="B2" s="75" t="s">
        <v>57</v>
      </c>
      <c r="C2" s="75" t="s">
        <v>58</v>
      </c>
      <c r="D2" s="75" t="s">
        <v>59</v>
      </c>
      <c r="E2" s="74" t="s">
        <v>65</v>
      </c>
      <c r="G2" s="74" t="s">
        <v>57</v>
      </c>
      <c r="H2" s="74" t="s">
        <v>58</v>
      </c>
      <c r="I2" s="74" t="s">
        <v>59</v>
      </c>
      <c r="J2" s="74" t="s">
        <v>65</v>
      </c>
    </row>
    <row r="3" spans="2:12" ht="16.8" thickTop="1" thickBot="1">
      <c r="B3" s="75" t="s">
        <v>132</v>
      </c>
      <c r="C3" s="75" t="s">
        <v>131</v>
      </c>
      <c r="D3" s="75">
        <v>8</v>
      </c>
      <c r="E3" s="75"/>
      <c r="G3" s="74" t="s">
        <v>130</v>
      </c>
      <c r="H3" s="74" t="s">
        <v>129</v>
      </c>
      <c r="I3" s="74">
        <v>1</v>
      </c>
      <c r="J3" s="74"/>
      <c r="L3" s="54">
        <f>840+550</f>
        <v>1390</v>
      </c>
    </row>
    <row r="4" spans="2:12" ht="16.8" thickTop="1" thickBot="1">
      <c r="B4" s="75" t="s">
        <v>120</v>
      </c>
      <c r="C4" s="75" t="s">
        <v>128</v>
      </c>
      <c r="D4" s="75">
        <v>1</v>
      </c>
      <c r="E4" s="75"/>
      <c r="G4" s="74" t="s">
        <v>127</v>
      </c>
      <c r="H4" s="74" t="s">
        <v>43</v>
      </c>
      <c r="I4" s="74">
        <v>1</v>
      </c>
      <c r="J4" s="74"/>
    </row>
    <row r="5" spans="2:12" ht="16.8" thickTop="1" thickBot="1">
      <c r="B5" s="75" t="s">
        <v>120</v>
      </c>
      <c r="C5" s="75" t="s">
        <v>126</v>
      </c>
      <c r="D5" s="75">
        <v>1</v>
      </c>
      <c r="E5" s="75"/>
      <c r="G5" s="74" t="s">
        <v>125</v>
      </c>
      <c r="H5" s="74" t="s">
        <v>88</v>
      </c>
      <c r="I5" s="74">
        <v>2</v>
      </c>
      <c r="J5" s="74"/>
    </row>
    <row r="6" spans="2:12" ht="16.8" thickTop="1" thickBot="1">
      <c r="B6" s="75" t="s">
        <v>120</v>
      </c>
      <c r="C6" s="75" t="s">
        <v>74</v>
      </c>
      <c r="D6" s="75">
        <v>1</v>
      </c>
      <c r="E6" s="75"/>
      <c r="G6" s="74" t="s">
        <v>124</v>
      </c>
      <c r="H6" s="74" t="s">
        <v>79</v>
      </c>
      <c r="I6" s="74">
        <v>5</v>
      </c>
      <c r="J6" s="74"/>
    </row>
    <row r="7" spans="2:12" ht="16.8" thickTop="1" thickBot="1">
      <c r="B7" s="75" t="s">
        <v>120</v>
      </c>
      <c r="C7" s="75" t="s">
        <v>75</v>
      </c>
      <c r="D7" s="75">
        <v>1</v>
      </c>
      <c r="E7" s="75"/>
      <c r="G7" s="74" t="s">
        <v>123</v>
      </c>
      <c r="H7" s="74" t="s">
        <v>122</v>
      </c>
      <c r="I7" s="74">
        <v>5</v>
      </c>
      <c r="J7" s="74"/>
    </row>
    <row r="8" spans="2:12" ht="16.8" thickTop="1" thickBot="1">
      <c r="B8" s="75" t="s">
        <v>120</v>
      </c>
      <c r="C8" s="75" t="s">
        <v>76</v>
      </c>
      <c r="D8" s="75">
        <v>1</v>
      </c>
      <c r="E8" s="75"/>
      <c r="G8" s="74" t="s">
        <v>121</v>
      </c>
      <c r="H8" s="74" t="s">
        <v>44</v>
      </c>
      <c r="I8" s="74">
        <v>5</v>
      </c>
      <c r="J8" s="74"/>
    </row>
    <row r="9" spans="2:12" ht="16.8" thickTop="1" thickBot="1">
      <c r="B9" s="75" t="s">
        <v>120</v>
      </c>
      <c r="C9" s="75" t="s">
        <v>77</v>
      </c>
      <c r="D9" s="75">
        <v>1</v>
      </c>
      <c r="E9" s="75"/>
      <c r="G9" s="74" t="s">
        <v>119</v>
      </c>
      <c r="H9" s="74" t="s">
        <v>49</v>
      </c>
      <c r="I9" s="74">
        <v>5</v>
      </c>
      <c r="J9" s="74"/>
    </row>
    <row r="10" spans="2:12" ht="16.8" thickTop="1" thickBot="1">
      <c r="B10" s="75" t="s">
        <v>118</v>
      </c>
      <c r="C10" s="75" t="s">
        <v>78</v>
      </c>
      <c r="D10" s="75">
        <v>5</v>
      </c>
      <c r="E10" s="75"/>
      <c r="G10" s="74" t="s">
        <v>117</v>
      </c>
      <c r="H10" s="74" t="s">
        <v>70</v>
      </c>
      <c r="I10" s="74">
        <v>1</v>
      </c>
      <c r="J10" s="74"/>
    </row>
    <row r="11" spans="2:12" ht="16.8" thickTop="1" thickBot="1">
      <c r="B11" s="75" t="s">
        <v>106</v>
      </c>
      <c r="C11" s="75" t="s">
        <v>116</v>
      </c>
      <c r="D11" s="75">
        <v>5</v>
      </c>
      <c r="E11" s="75"/>
      <c r="G11" s="74" t="s">
        <v>115</v>
      </c>
      <c r="H11" s="74" t="s">
        <v>50</v>
      </c>
      <c r="I11" s="74">
        <v>1</v>
      </c>
      <c r="J11" s="74"/>
    </row>
    <row r="12" spans="2:12" ht="16.8" thickTop="1" thickBot="1">
      <c r="B12" s="75" t="s">
        <v>106</v>
      </c>
      <c r="C12" s="75" t="s">
        <v>203</v>
      </c>
      <c r="D12" s="75">
        <v>10</v>
      </c>
      <c r="E12" s="75"/>
      <c r="G12" s="74" t="s">
        <v>114</v>
      </c>
      <c r="H12" s="74" t="s">
        <v>82</v>
      </c>
      <c r="I12" s="74">
        <v>5</v>
      </c>
      <c r="J12" s="74"/>
    </row>
    <row r="13" spans="2:12" ht="16.8" thickTop="1" thickBot="1">
      <c r="B13" s="75" t="s">
        <v>112</v>
      </c>
      <c r="C13" s="75" t="s">
        <v>80</v>
      </c>
      <c r="D13" s="75">
        <v>1</v>
      </c>
      <c r="E13" s="75"/>
      <c r="G13" s="74" t="s">
        <v>113</v>
      </c>
      <c r="H13" s="74" t="s">
        <v>51</v>
      </c>
      <c r="I13" s="74">
        <v>5</v>
      </c>
      <c r="J13" s="74"/>
    </row>
    <row r="14" spans="2:12" ht="16.8" thickTop="1" thickBot="1">
      <c r="B14" s="75" t="s">
        <v>112</v>
      </c>
      <c r="C14" s="75" t="s">
        <v>81</v>
      </c>
      <c r="D14" s="75">
        <v>1</v>
      </c>
      <c r="E14" s="75"/>
      <c r="G14" s="74" t="s">
        <v>111</v>
      </c>
      <c r="H14" s="74" t="s">
        <v>83</v>
      </c>
      <c r="I14" s="74">
        <v>30</v>
      </c>
      <c r="J14" s="74"/>
      <c r="K14" s="71"/>
      <c r="L14" s="71"/>
    </row>
    <row r="15" spans="2:12" ht="16.8" thickTop="1" thickBot="1">
      <c r="B15" s="75" t="s">
        <v>110</v>
      </c>
      <c r="C15" s="75" t="s">
        <v>45</v>
      </c>
      <c r="D15" s="75">
        <v>1</v>
      </c>
      <c r="E15" s="75"/>
      <c r="G15" s="74" t="s">
        <v>104</v>
      </c>
      <c r="H15" s="74" t="s">
        <v>71</v>
      </c>
      <c r="I15" s="74">
        <v>10</v>
      </c>
      <c r="J15" s="74"/>
      <c r="K15" s="71"/>
      <c r="L15" s="71"/>
    </row>
    <row r="16" spans="2:12" ht="32.4" thickTop="1" thickBot="1">
      <c r="B16" s="75" t="s">
        <v>109</v>
      </c>
      <c r="C16" s="75" t="s">
        <v>46</v>
      </c>
      <c r="D16" s="75">
        <v>1</v>
      </c>
      <c r="E16" s="75"/>
      <c r="G16" s="74" t="s">
        <v>104</v>
      </c>
      <c r="H16" s="74" t="s">
        <v>62</v>
      </c>
      <c r="I16" s="74">
        <v>2</v>
      </c>
      <c r="J16" s="74" t="s">
        <v>63</v>
      </c>
      <c r="K16" s="71"/>
      <c r="L16" s="71"/>
    </row>
    <row r="17" spans="2:12" ht="16.8" thickTop="1" thickBot="1">
      <c r="B17" s="75" t="s">
        <v>108</v>
      </c>
      <c r="C17" s="75" t="s">
        <v>47</v>
      </c>
      <c r="D17" s="75">
        <v>1</v>
      </c>
      <c r="E17" s="75"/>
      <c r="G17" s="74" t="s">
        <v>104</v>
      </c>
      <c r="H17" s="74" t="s">
        <v>52</v>
      </c>
      <c r="I17" s="74">
        <v>6</v>
      </c>
      <c r="J17" s="74"/>
    </row>
    <row r="18" spans="2:12" ht="16.8" thickTop="1" thickBot="1">
      <c r="B18" s="75" t="s">
        <v>108</v>
      </c>
      <c r="C18" s="75" t="s">
        <v>107</v>
      </c>
      <c r="D18" s="75">
        <v>2</v>
      </c>
      <c r="E18" s="75"/>
      <c r="G18" s="74" t="s">
        <v>104</v>
      </c>
      <c r="H18" s="74" t="s">
        <v>53</v>
      </c>
      <c r="I18" s="74">
        <v>6</v>
      </c>
      <c r="J18" s="74"/>
    </row>
    <row r="19" spans="2:12" ht="16.8" thickTop="1" thickBot="1">
      <c r="B19" s="75" t="s">
        <v>106</v>
      </c>
      <c r="C19" s="75" t="s">
        <v>105</v>
      </c>
      <c r="D19" s="75">
        <v>4294967295</v>
      </c>
      <c r="E19" s="75"/>
      <c r="G19" s="74" t="s">
        <v>104</v>
      </c>
      <c r="H19" s="74" t="s">
        <v>54</v>
      </c>
      <c r="I19" s="74">
        <v>4</v>
      </c>
      <c r="J19" s="74"/>
      <c r="K19" s="71"/>
      <c r="L19" s="71"/>
    </row>
    <row r="20" spans="2:12" ht="16.8" thickTop="1" thickBot="1">
      <c r="G20" s="74" t="s">
        <v>104</v>
      </c>
      <c r="H20" s="74" t="s">
        <v>55</v>
      </c>
      <c r="I20" s="74">
        <v>4</v>
      </c>
      <c r="J20" s="74"/>
    </row>
    <row r="21" spans="2:12" ht="32.4" thickTop="1" thickBot="1">
      <c r="G21" s="74" t="s">
        <v>103</v>
      </c>
      <c r="H21" s="74" t="s">
        <v>64</v>
      </c>
      <c r="I21" s="74">
        <v>5</v>
      </c>
      <c r="J21" s="74" t="s">
        <v>63</v>
      </c>
    </row>
    <row r="22" spans="2:12" ht="16.8" thickTop="1" thickBot="1">
      <c r="G22" s="74" t="s">
        <v>102</v>
      </c>
      <c r="H22" s="74" t="s">
        <v>84</v>
      </c>
      <c r="I22" s="74">
        <v>10</v>
      </c>
      <c r="J22" s="74"/>
      <c r="K22" s="71"/>
      <c r="L22" s="71"/>
    </row>
    <row r="23" spans="2:12" ht="29.4" thickTop="1" thickBot="1">
      <c r="B23" s="73"/>
      <c r="C23" s="73"/>
      <c r="D23" s="73"/>
      <c r="E23" s="72"/>
      <c r="G23" s="74" t="s">
        <v>102</v>
      </c>
      <c r="H23" s="74" t="s">
        <v>48</v>
      </c>
      <c r="I23" s="74">
        <v>4294967295</v>
      </c>
      <c r="J23" s="74"/>
      <c r="K23" s="71"/>
      <c r="L23" s="71"/>
    </row>
    <row r="24" spans="2:12" ht="29.4" thickTop="1" thickBot="1">
      <c r="B24" s="73"/>
      <c r="C24" s="73"/>
      <c r="D24" s="73"/>
      <c r="E24" s="72"/>
      <c r="G24" s="74" t="s">
        <v>101</v>
      </c>
      <c r="H24" s="74" t="s">
        <v>56</v>
      </c>
      <c r="I24" s="74">
        <v>10</v>
      </c>
      <c r="J24" s="74"/>
      <c r="K24" s="71"/>
      <c r="L24" s="71"/>
    </row>
    <row r="25" spans="2:12" ht="29.4" thickTop="1" thickBot="1">
      <c r="B25" s="73"/>
      <c r="C25" s="73"/>
      <c r="D25" s="73"/>
      <c r="E25" s="72"/>
      <c r="G25" s="74" t="s">
        <v>100</v>
      </c>
      <c r="H25" s="74" t="s">
        <v>85</v>
      </c>
      <c r="I25" s="74">
        <v>200</v>
      </c>
      <c r="J25" s="74"/>
      <c r="K25" s="71"/>
      <c r="L25" s="71"/>
    </row>
    <row r="26" spans="2:12" ht="29.4" thickTop="1" thickBot="1">
      <c r="B26" s="73"/>
      <c r="C26" s="73"/>
      <c r="D26" s="73"/>
      <c r="E26" s="72"/>
      <c r="G26" s="74" t="s">
        <v>100</v>
      </c>
      <c r="H26" s="74" t="s">
        <v>86</v>
      </c>
      <c r="I26" s="74">
        <v>200</v>
      </c>
      <c r="J26" s="74"/>
    </row>
    <row r="27" spans="2:12" ht="28.8" thickTop="1">
      <c r="B27" s="73"/>
      <c r="C27" s="73"/>
      <c r="D27" s="73"/>
      <c r="E27" s="72"/>
      <c r="G27" s="71"/>
      <c r="H27" s="71"/>
      <c r="I27" s="71"/>
      <c r="J27" s="71"/>
    </row>
    <row r="28" spans="2:12">
      <c r="G28" s="71"/>
      <c r="H28" s="71"/>
      <c r="I28" s="71"/>
      <c r="J28" s="71"/>
    </row>
    <row r="29" spans="2:12">
      <c r="G29" s="71"/>
      <c r="H29" s="71"/>
      <c r="I29" s="71"/>
      <c r="J29" s="71"/>
    </row>
    <row r="33" spans="11:12">
      <c r="K33" s="71"/>
      <c r="L33" s="71"/>
    </row>
    <row r="35" spans="11:12">
      <c r="K35" s="71"/>
      <c r="L35" s="71"/>
    </row>
  </sheetData>
  <mergeCells count="2">
    <mergeCell ref="G1:J1"/>
    <mergeCell ref="B1:E1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27"/>
  <sheetViews>
    <sheetView tabSelected="1" workbookViewId="0">
      <selection activeCell="I4" sqref="I4"/>
    </sheetView>
  </sheetViews>
  <sheetFormatPr defaultRowHeight="15.6"/>
  <cols>
    <col min="1" max="1" width="16.44140625" style="25" bestFit="1" customWidth="1"/>
    <col min="2" max="2" width="9.5546875" style="25" bestFit="1" customWidth="1"/>
    <col min="3" max="4" width="11.6640625" style="25" bestFit="1" customWidth="1"/>
    <col min="5" max="5" width="10.33203125" style="25" customWidth="1"/>
    <col min="6" max="6" width="8.77734375" style="25" bestFit="1" customWidth="1"/>
    <col min="7" max="7" width="14.6640625" style="25" bestFit="1" customWidth="1"/>
    <col min="8" max="8" width="9.5546875" style="25" bestFit="1" customWidth="1"/>
    <col min="9" max="9" width="10.44140625" style="25" bestFit="1" customWidth="1"/>
    <col min="10" max="10" width="14.6640625" style="25" bestFit="1" customWidth="1"/>
    <col min="11" max="11" width="12.88671875" style="25" bestFit="1" customWidth="1"/>
    <col min="12" max="12" width="16.109375" style="25" bestFit="1" customWidth="1"/>
    <col min="13" max="13" width="5.5546875" style="25" bestFit="1" customWidth="1"/>
    <col min="14" max="14" width="7.6640625" style="25" bestFit="1" customWidth="1"/>
    <col min="15" max="16" width="9.5546875" style="25" bestFit="1" customWidth="1"/>
    <col min="17" max="17" width="11.6640625" style="25" bestFit="1" customWidth="1"/>
    <col min="18" max="18" width="9" style="25" customWidth="1"/>
    <col min="19" max="19" width="8.88671875" style="25" bestFit="1" customWidth="1"/>
    <col min="20" max="20" width="7.6640625" style="25" bestFit="1" customWidth="1"/>
    <col min="21" max="21" width="9" style="25" customWidth="1"/>
    <col min="22" max="22" width="16" style="25" customWidth="1"/>
    <col min="23" max="23" width="14.77734375" style="25" customWidth="1"/>
    <col min="24" max="16384" width="8.88671875" style="25"/>
  </cols>
  <sheetData>
    <row r="1" spans="1:23" ht="16.2" thickTop="1">
      <c r="A1" s="18" t="s">
        <v>2</v>
      </c>
      <c r="B1" s="19" t="s">
        <v>133</v>
      </c>
      <c r="E1" s="162" t="s">
        <v>69</v>
      </c>
      <c r="F1" s="162"/>
      <c r="G1" s="162"/>
      <c r="H1" s="162"/>
      <c r="J1" s="53"/>
      <c r="K1" s="53"/>
      <c r="L1" s="59" t="str">
        <f>抽奖道具&amp;"礼包"</f>
        <v>随机骰子礼包</v>
      </c>
      <c r="M1" s="60" t="s">
        <v>89</v>
      </c>
      <c r="N1" s="60" t="s">
        <v>90</v>
      </c>
      <c r="O1" s="60" t="s">
        <v>91</v>
      </c>
      <c r="P1" s="60" t="str">
        <f>抽奖道具</f>
        <v>随机骰子</v>
      </c>
      <c r="Q1" s="61" t="s">
        <v>92</v>
      </c>
      <c r="S1" s="28" t="s">
        <v>145</v>
      </c>
      <c r="T1" s="29" t="s">
        <v>0</v>
      </c>
      <c r="U1" s="26"/>
      <c r="V1" s="26"/>
      <c r="W1" s="26"/>
    </row>
    <row r="2" spans="1:23">
      <c r="A2" s="7" t="s">
        <v>3</v>
      </c>
      <c r="B2" s="24" t="s">
        <v>134</v>
      </c>
      <c r="E2" s="25" t="s">
        <v>68</v>
      </c>
      <c r="F2" s="161" t="s">
        <v>66</v>
      </c>
      <c r="G2" s="161"/>
      <c r="H2" s="25" t="s">
        <v>67</v>
      </c>
      <c r="I2" s="25" t="s">
        <v>144</v>
      </c>
      <c r="J2" s="51"/>
      <c r="K2" s="53"/>
      <c r="L2" s="39" t="str">
        <f>抽奖道具 &amp; "礼包Ⅰ"</f>
        <v>随机骰子礼包Ⅰ</v>
      </c>
      <c r="M2" s="51">
        <v>30</v>
      </c>
      <c r="N2" s="51">
        <f>IFERROR(LOOKUP(M2,价格6:价格648,翡翠100:翡翠10000),0)</f>
        <v>500</v>
      </c>
      <c r="O2" s="51">
        <v>1</v>
      </c>
      <c r="P2" s="51">
        <v>30</v>
      </c>
      <c r="Q2" s="24">
        <f>P2/N2</f>
        <v>0.06</v>
      </c>
      <c r="S2" s="3">
        <v>6</v>
      </c>
      <c r="T2" s="4">
        <v>100</v>
      </c>
    </row>
    <row r="3" spans="1:23" ht="16.2" thickBot="1">
      <c r="A3" s="8" t="s">
        <v>7</v>
      </c>
      <c r="B3" s="15" t="s">
        <v>135</v>
      </c>
      <c r="E3" s="25" t="str">
        <f>普通兑换道具</f>
        <v>桂香糕</v>
      </c>
      <c r="F3" s="161" t="s">
        <v>87</v>
      </c>
      <c r="G3" s="161"/>
      <c r="H3" s="25">
        <v>1.4</v>
      </c>
      <c r="J3" s="53"/>
      <c r="L3" s="39" t="str">
        <f>抽奖道具 &amp; "礼包Ⅱ"</f>
        <v>随机骰子礼包Ⅱ</v>
      </c>
      <c r="M3" s="51">
        <v>68</v>
      </c>
      <c r="N3" s="51">
        <f>IFERROR(LOOKUP(M3,价格6:价格648,翡翠100:翡翠10000),0)</f>
        <v>1000</v>
      </c>
      <c r="O3" s="51">
        <v>1</v>
      </c>
      <c r="P3" s="51">
        <v>45</v>
      </c>
      <c r="Q3" s="24">
        <f t="shared" ref="Q3:Q8" si="0">P3/N3</f>
        <v>4.4999999999999998E-2</v>
      </c>
      <c r="S3" s="7">
        <v>30</v>
      </c>
      <c r="T3" s="81">
        <v>500</v>
      </c>
      <c r="U3" s="27"/>
      <c r="V3" s="27"/>
      <c r="W3" s="27"/>
    </row>
    <row r="4" spans="1:23" ht="16.8" thickTop="1" thickBot="1">
      <c r="E4" s="51" t="str">
        <f>高级兑换道具</f>
        <v>月华糕</v>
      </c>
      <c r="F4" s="163" t="s">
        <v>87</v>
      </c>
      <c r="G4" s="163"/>
      <c r="H4" s="79">
        <v>0</v>
      </c>
      <c r="J4" s="51"/>
      <c r="L4" s="39" t="str">
        <f>抽奖道具 &amp; "礼包Ⅲ"</f>
        <v>随机骰子礼包Ⅲ</v>
      </c>
      <c r="M4" s="51">
        <v>198</v>
      </c>
      <c r="N4" s="51">
        <f>IFERROR(LOOKUP(M4,价格6:价格648,翡翠100:翡翠10000),0)</f>
        <v>3000</v>
      </c>
      <c r="O4" s="51">
        <v>1</v>
      </c>
      <c r="P4" s="51">
        <v>90</v>
      </c>
      <c r="Q4" s="24">
        <f t="shared" si="0"/>
        <v>0.03</v>
      </c>
      <c r="S4" s="7">
        <v>68</v>
      </c>
      <c r="T4" s="81">
        <v>1000</v>
      </c>
      <c r="U4" s="27"/>
    </row>
    <row r="5" spans="1:23" ht="23.4" customHeight="1" thickTop="1">
      <c r="A5" s="20" t="s">
        <v>8</v>
      </c>
      <c r="B5" s="21" t="s">
        <v>9</v>
      </c>
      <c r="C5" s="22" t="s">
        <v>10</v>
      </c>
      <c r="E5" s="25" t="s">
        <v>72</v>
      </c>
      <c r="F5" s="161"/>
      <c r="G5" s="161"/>
      <c r="H5" s="27">
        <f>I15</f>
        <v>1.1666666666666665</v>
      </c>
      <c r="J5" s="53"/>
      <c r="L5" s="39" t="str">
        <f>抽奖道具 &amp; "礼包Ⅳ"</f>
        <v>随机骰子礼包Ⅳ</v>
      </c>
      <c r="M5" s="51">
        <v>328</v>
      </c>
      <c r="N5" s="51">
        <f>IFERROR(LOOKUP(M5,价格6:价格648,翡翠100:翡翠10000),0)</f>
        <v>5000</v>
      </c>
      <c r="O5" s="51">
        <v>1</v>
      </c>
      <c r="P5" s="51">
        <v>150</v>
      </c>
      <c r="Q5" s="24">
        <f t="shared" si="0"/>
        <v>0.03</v>
      </c>
      <c r="S5" s="7">
        <v>98</v>
      </c>
      <c r="T5" s="81">
        <v>1500</v>
      </c>
      <c r="U5" s="27"/>
    </row>
    <row r="6" spans="1:23">
      <c r="A6" s="3" t="s">
        <v>11</v>
      </c>
      <c r="B6" s="1">
        <v>90</v>
      </c>
      <c r="C6" s="4">
        <v>1</v>
      </c>
      <c r="J6" s="53"/>
      <c r="K6" s="53"/>
      <c r="L6" s="39" t="str">
        <f>抽奖道具 &amp; "礼包Ⅴ"</f>
        <v>随机骰子礼包Ⅴ</v>
      </c>
      <c r="M6" s="51">
        <v>648</v>
      </c>
      <c r="N6" s="51">
        <f>IFERROR(LOOKUP(M6,价格6:价格648,翡翠100:翡翠10000),0)</f>
        <v>10000</v>
      </c>
      <c r="O6" s="51">
        <v>1</v>
      </c>
      <c r="P6" s="51">
        <v>270</v>
      </c>
      <c r="Q6" s="24">
        <f t="shared" si="0"/>
        <v>2.7E-2</v>
      </c>
      <c r="S6" s="7">
        <v>128</v>
      </c>
      <c r="T6" s="81">
        <v>2000</v>
      </c>
      <c r="U6" s="27"/>
    </row>
    <row r="7" spans="1:23" ht="16.2" thickBot="1">
      <c r="A7" s="3" t="s">
        <v>12</v>
      </c>
      <c r="B7" s="1">
        <v>300</v>
      </c>
      <c r="C7" s="4">
        <v>2</v>
      </c>
      <c r="F7" s="53"/>
      <c r="G7" s="53"/>
      <c r="H7" s="53"/>
      <c r="I7" s="53"/>
      <c r="J7" s="53"/>
      <c r="K7" s="53"/>
      <c r="L7" s="39" t="str">
        <f>抽奖道具 &amp; "礼包Ⅵ"</f>
        <v>随机骰子礼包Ⅵ</v>
      </c>
      <c r="M7" s="51">
        <v>648</v>
      </c>
      <c r="N7" s="51">
        <f>IFERROR(LOOKUP(M7,价格6:价格648,翡翠100:翡翠10000),0)</f>
        <v>10000</v>
      </c>
      <c r="O7" s="51">
        <v>1</v>
      </c>
      <c r="P7" s="51">
        <v>0</v>
      </c>
      <c r="Q7" s="24">
        <f t="shared" si="0"/>
        <v>0</v>
      </c>
      <c r="S7" s="7">
        <v>198</v>
      </c>
      <c r="T7" s="81">
        <v>3000</v>
      </c>
      <c r="U7" s="27"/>
    </row>
    <row r="8" spans="1:23" ht="16.8" thickTop="1" thickBot="1">
      <c r="A8" s="3" t="s">
        <v>13</v>
      </c>
      <c r="B8" s="1">
        <v>522</v>
      </c>
      <c r="C8" s="4">
        <v>5</v>
      </c>
      <c r="E8" s="164" t="s">
        <v>220</v>
      </c>
      <c r="F8" s="165"/>
      <c r="G8" s="165"/>
      <c r="H8" s="165"/>
      <c r="I8" s="165"/>
      <c r="J8" s="166"/>
      <c r="K8" s="53"/>
      <c r="L8" s="57" t="str">
        <f>抽奖道具 &amp; "礼包Ⅶ"</f>
        <v>随机骰子礼包Ⅶ</v>
      </c>
      <c r="M8" s="58">
        <v>648</v>
      </c>
      <c r="N8" s="58">
        <f>IFERROR(LOOKUP(M8,价格6:价格648,翡翠100:翡翠10000),0)</f>
        <v>10000</v>
      </c>
      <c r="O8" s="58">
        <v>1</v>
      </c>
      <c r="P8" s="58">
        <v>0</v>
      </c>
      <c r="Q8" s="15">
        <f t="shared" si="0"/>
        <v>0</v>
      </c>
      <c r="S8" s="7">
        <v>328</v>
      </c>
      <c r="T8" s="81">
        <v>5000</v>
      </c>
      <c r="U8" s="27"/>
    </row>
    <row r="9" spans="1:23" ht="16.8" thickTop="1" thickBot="1">
      <c r="A9" s="3" t="s">
        <v>14</v>
      </c>
      <c r="B9" s="1">
        <v>1242</v>
      </c>
      <c r="C9" s="4">
        <v>21</v>
      </c>
      <c r="E9" s="167"/>
      <c r="F9" s="168"/>
      <c r="G9" s="168"/>
      <c r="H9" s="168"/>
      <c r="I9" s="168"/>
      <c r="J9" s="169"/>
      <c r="K9" s="53"/>
      <c r="L9" s="53"/>
      <c r="M9" s="53"/>
      <c r="N9" s="53"/>
      <c r="O9" s="53"/>
      <c r="P9" s="53"/>
      <c r="S9" s="8">
        <v>648</v>
      </c>
      <c r="T9" s="82">
        <v>10000</v>
      </c>
      <c r="U9" s="27"/>
    </row>
    <row r="10" spans="1:23" ht="16.8" thickTop="1" thickBot="1">
      <c r="A10" s="5" t="s">
        <v>15</v>
      </c>
      <c r="B10" s="9">
        <v>2052</v>
      </c>
      <c r="C10" s="12">
        <v>41</v>
      </c>
      <c r="E10" s="167"/>
      <c r="F10" s="168"/>
      <c r="G10" s="168"/>
      <c r="H10" s="168"/>
      <c r="I10" s="168"/>
      <c r="J10" s="169"/>
      <c r="K10" s="53"/>
      <c r="L10" s="62" t="str">
        <f>高级兑换道具&amp;"礼包"</f>
        <v>月华糕礼包</v>
      </c>
      <c r="M10" s="63" t="s">
        <v>89</v>
      </c>
      <c r="N10" s="63" t="s">
        <v>90</v>
      </c>
      <c r="O10" s="63" t="s">
        <v>91</v>
      </c>
      <c r="P10" s="63" t="str">
        <f>高级兑换道具</f>
        <v>月华糕</v>
      </c>
      <c r="Q10" s="64" t="s">
        <v>92</v>
      </c>
      <c r="T10" s="27"/>
      <c r="U10" s="27"/>
    </row>
    <row r="11" spans="1:23" ht="16.8" thickTop="1" thickBot="1">
      <c r="E11" s="167"/>
      <c r="F11" s="168"/>
      <c r="G11" s="168"/>
      <c r="H11" s="168"/>
      <c r="I11" s="168"/>
      <c r="J11" s="169"/>
      <c r="K11" s="53"/>
      <c r="L11" s="39" t="str">
        <f>高级兑换道具 &amp; "礼包Ⅰ"</f>
        <v>月华糕礼包Ⅰ</v>
      </c>
      <c r="M11" s="51">
        <v>68</v>
      </c>
      <c r="N11" s="51">
        <f>IFERROR(LOOKUP(M11,价格6:价格648,翡翠100:翡翠10000),0)</f>
        <v>1000</v>
      </c>
      <c r="O11" s="51">
        <v>2</v>
      </c>
      <c r="P11" s="51">
        <v>2</v>
      </c>
      <c r="Q11" s="24">
        <f>P11/N11</f>
        <v>2E-3</v>
      </c>
      <c r="T11" s="27"/>
      <c r="U11" s="27"/>
    </row>
    <row r="12" spans="1:23" ht="16.8" thickTop="1" thickBot="1">
      <c r="A12" s="158" t="s">
        <v>16</v>
      </c>
      <c r="B12" s="159"/>
      <c r="C12" s="160"/>
      <c r="E12" s="170"/>
      <c r="F12" s="171"/>
      <c r="G12" s="171"/>
      <c r="H12" s="171"/>
      <c r="I12" s="171"/>
      <c r="J12" s="172"/>
      <c r="K12" s="53"/>
      <c r="L12" s="39" t="str">
        <f>高级兑换道具 &amp; "礼包Ⅱ"</f>
        <v>月华糕礼包Ⅱ</v>
      </c>
      <c r="M12" s="51">
        <v>128</v>
      </c>
      <c r="N12" s="51">
        <f>IFERROR(LOOKUP(M12,价格6:价格648,翡翠100:翡翠10000),0)</f>
        <v>2000</v>
      </c>
      <c r="O12" s="51">
        <v>2</v>
      </c>
      <c r="P12" s="51">
        <v>4</v>
      </c>
      <c r="Q12" s="24">
        <f t="shared" ref="Q12:Q14" si="1">P12/N12</f>
        <v>2E-3</v>
      </c>
      <c r="T12" s="27"/>
      <c r="U12" s="27"/>
    </row>
    <row r="13" spans="1:23" ht="16.8" thickTop="1" thickBot="1">
      <c r="A13" s="7" t="str">
        <f>"获得 1 " &amp; 抽奖道具</f>
        <v>获得 1 随机骰子</v>
      </c>
      <c r="B13" s="101">
        <v>2</v>
      </c>
      <c r="C13" s="81" t="s">
        <v>6</v>
      </c>
      <c r="F13" s="53"/>
      <c r="G13" s="53"/>
      <c r="H13" s="53"/>
      <c r="I13" s="53"/>
      <c r="J13" s="53"/>
      <c r="K13" s="53"/>
      <c r="L13" s="39" t="str">
        <f>高级兑换道具 &amp; "礼包Ⅲ"</f>
        <v>月华糕礼包Ⅲ</v>
      </c>
      <c r="M13" s="51">
        <v>328</v>
      </c>
      <c r="N13" s="51">
        <f>IFERROR(LOOKUP(M13,价格6:价格648,翡翠100:翡翠10000),0)</f>
        <v>5000</v>
      </c>
      <c r="O13" s="51">
        <v>2</v>
      </c>
      <c r="P13" s="51">
        <v>10</v>
      </c>
      <c r="Q13" s="24">
        <f t="shared" si="1"/>
        <v>2E-3</v>
      </c>
      <c r="T13" s="27"/>
      <c r="U13" s="27"/>
    </row>
    <row r="14" spans="1:23" ht="32.4" thickTop="1" thickBot="1">
      <c r="A14" s="7" t="str">
        <f xml:space="preserve"> "1 " &amp; 高级兑换道具</f>
        <v>1 月华糕</v>
      </c>
      <c r="B14" s="101">
        <v>0</v>
      </c>
      <c r="C14" s="81" t="s">
        <v>6</v>
      </c>
      <c r="E14" s="76" t="s">
        <v>138</v>
      </c>
      <c r="F14" s="77" t="s">
        <v>139</v>
      </c>
      <c r="G14" s="77" t="s">
        <v>140</v>
      </c>
      <c r="H14" s="77" t="s">
        <v>141</v>
      </c>
      <c r="I14" s="78" t="s">
        <v>143</v>
      </c>
      <c r="J14" s="78" t="s">
        <v>142</v>
      </c>
      <c r="K14" s="53"/>
      <c r="L14" s="57" t="str">
        <f>高级兑换道具 &amp; "礼包Ⅳ"</f>
        <v>月华糕礼包Ⅳ</v>
      </c>
      <c r="M14" s="58">
        <v>648</v>
      </c>
      <c r="N14" s="58">
        <f>IFERROR(LOOKUP(M14,价格6:价格648,翡翠100:翡翠10000),0)</f>
        <v>10000</v>
      </c>
      <c r="O14" s="58">
        <v>2</v>
      </c>
      <c r="P14" s="58">
        <v>20</v>
      </c>
      <c r="Q14" s="15">
        <f t="shared" si="1"/>
        <v>2E-3</v>
      </c>
      <c r="T14" s="27"/>
      <c r="U14" s="27"/>
    </row>
    <row r="15" spans="1:23" ht="16.8" thickTop="1" thickBot="1">
      <c r="A15" s="8" t="s">
        <v>136</v>
      </c>
      <c r="B15" s="102">
        <v>10</v>
      </c>
      <c r="C15" s="82" t="s">
        <v>137</v>
      </c>
      <c r="E15" s="57">
        <v>10</v>
      </c>
      <c r="F15" s="58">
        <v>30</v>
      </c>
      <c r="G15" s="84">
        <f>E15/F15</f>
        <v>0.33333333333333331</v>
      </c>
      <c r="H15" s="58">
        <f>AVERAGE(1,2,3,4,5,6)</f>
        <v>3.5</v>
      </c>
      <c r="I15" s="80">
        <f>H15*G15</f>
        <v>1.1666666666666665</v>
      </c>
      <c r="J15" s="83">
        <f>F15/H15</f>
        <v>8.5714285714285712</v>
      </c>
      <c r="K15" s="53"/>
      <c r="L15" s="51"/>
      <c r="M15" s="51"/>
      <c r="N15" s="51"/>
      <c r="O15" s="51"/>
      <c r="P15" s="51"/>
      <c r="Q15" s="51"/>
      <c r="T15" s="27"/>
      <c r="U15" s="27"/>
    </row>
    <row r="16" spans="1:23" ht="16.8" thickTop="1" thickBot="1">
      <c r="F16" s="53"/>
      <c r="G16" s="53"/>
      <c r="H16" s="53"/>
      <c r="I16" s="53"/>
      <c r="J16" s="53"/>
      <c r="K16" s="53"/>
      <c r="L16" s="88" t="s">
        <v>149</v>
      </c>
      <c r="M16" s="89" t="s">
        <v>89</v>
      </c>
      <c r="N16" s="89" t="s">
        <v>90</v>
      </c>
      <c r="O16" s="89" t="s">
        <v>150</v>
      </c>
      <c r="P16" s="89" t="str">
        <f>抽奖道具</f>
        <v>随机骰子</v>
      </c>
      <c r="Q16" s="90" t="str">
        <f>A21</f>
        <v>随机箱</v>
      </c>
      <c r="T16" s="27"/>
      <c r="U16" s="27"/>
    </row>
    <row r="17" spans="1:21" ht="16.2" thickTop="1">
      <c r="A17" s="152" t="s">
        <v>146</v>
      </c>
      <c r="B17" s="153"/>
      <c r="C17" s="154"/>
      <c r="E17" s="173" t="s">
        <v>173</v>
      </c>
      <c r="F17" s="174"/>
      <c r="G17" s="175"/>
      <c r="H17" s="53"/>
      <c r="I17" s="53"/>
      <c r="J17" s="53"/>
      <c r="K17" s="53"/>
      <c r="L17" s="39" t="s">
        <v>147</v>
      </c>
      <c r="M17" s="51">
        <v>0</v>
      </c>
      <c r="N17" s="51">
        <v>0</v>
      </c>
      <c r="O17" s="51">
        <v>1</v>
      </c>
      <c r="P17" s="51">
        <v>75</v>
      </c>
      <c r="Q17" s="24">
        <v>0</v>
      </c>
      <c r="T17" s="27"/>
      <c r="U17" s="27"/>
    </row>
    <row r="18" spans="1:21" ht="16.2" thickBot="1">
      <c r="A18" s="3" t="str">
        <f>"1"&amp; 抽奖道具</f>
        <v>1随机骰子</v>
      </c>
      <c r="B18" s="1">
        <v>100</v>
      </c>
      <c r="C18" s="4" t="s">
        <v>18</v>
      </c>
      <c r="E18" s="39" t="s">
        <v>174</v>
      </c>
      <c r="F18" s="51">
        <v>30</v>
      </c>
      <c r="G18" s="24" t="str">
        <f>抽奖道具</f>
        <v>随机骰子</v>
      </c>
      <c r="J18" s="53"/>
      <c r="K18" s="53"/>
      <c r="L18" s="57" t="s">
        <v>148</v>
      </c>
      <c r="M18" s="58">
        <v>68</v>
      </c>
      <c r="N18" s="58">
        <v>1000</v>
      </c>
      <c r="O18" s="58">
        <v>1</v>
      </c>
      <c r="P18" s="58">
        <v>140</v>
      </c>
      <c r="Q18" s="15">
        <v>0</v>
      </c>
      <c r="T18" s="27"/>
      <c r="U18" s="27"/>
    </row>
    <row r="19" spans="1:21" ht="16.8" thickTop="1" thickBot="1">
      <c r="A19" s="5" t="s">
        <v>19</v>
      </c>
      <c r="B19" s="9">
        <v>70</v>
      </c>
      <c r="C19" s="12" t="s">
        <v>20</v>
      </c>
      <c r="E19" s="57" t="s">
        <v>172</v>
      </c>
      <c r="F19" s="58">
        <v>2</v>
      </c>
      <c r="G19" s="15" t="str">
        <f>抽奖道具</f>
        <v>随机骰子</v>
      </c>
      <c r="J19" s="53"/>
      <c r="K19" s="53"/>
      <c r="T19" s="27"/>
      <c r="U19" s="27"/>
    </row>
    <row r="20" spans="1:21" ht="16.8" thickTop="1" thickBot="1">
      <c r="J20" s="53"/>
      <c r="K20" s="53"/>
      <c r="L20" s="53"/>
      <c r="M20" s="53"/>
      <c r="N20" s="53"/>
      <c r="O20" s="53"/>
      <c r="P20" s="53"/>
      <c r="T20" s="27"/>
      <c r="U20" s="27"/>
    </row>
    <row r="21" spans="1:21" ht="16.2" thickTop="1">
      <c r="A21" s="155" t="s">
        <v>21</v>
      </c>
      <c r="B21" s="156"/>
      <c r="C21" s="156"/>
      <c r="D21" s="157"/>
      <c r="J21" s="53"/>
      <c r="K21" s="53"/>
      <c r="T21" s="27"/>
      <c r="U21" s="27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J22" s="53"/>
      <c r="K22" s="53"/>
      <c r="T22" s="27"/>
      <c r="U22" s="27"/>
    </row>
    <row r="23" spans="1:21">
      <c r="A23" s="3">
        <v>1</v>
      </c>
      <c r="B23" s="2">
        <v>0.95</v>
      </c>
      <c r="C23" s="1">
        <f>B23*A23</f>
        <v>0.95</v>
      </c>
      <c r="D23" s="4">
        <f>C23*积分规则2</f>
        <v>0</v>
      </c>
      <c r="F23" s="53"/>
      <c r="G23" s="53"/>
      <c r="H23" s="53"/>
      <c r="I23" s="53"/>
      <c r="J23" s="53"/>
      <c r="K23" s="53"/>
      <c r="T23" s="27"/>
      <c r="U23" s="27"/>
    </row>
    <row r="24" spans="1:21">
      <c r="A24" s="3">
        <v>2</v>
      </c>
      <c r="B24" s="16">
        <v>4.9000000000000002E-2</v>
      </c>
      <c r="C24" s="1">
        <f t="shared" ref="C24:C25" si="2">B24*A24</f>
        <v>9.8000000000000004E-2</v>
      </c>
      <c r="D24" s="4">
        <f>C24*积分规则2</f>
        <v>0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</row>
    <row r="25" spans="1:21">
      <c r="A25" s="3">
        <v>3</v>
      </c>
      <c r="B25" s="17">
        <v>1E-3</v>
      </c>
      <c r="C25" s="1">
        <f t="shared" si="2"/>
        <v>3.0000000000000001E-3</v>
      </c>
      <c r="D25" s="4">
        <f>C25*积分规则2</f>
        <v>0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</row>
    <row r="26" spans="1:21" ht="16.2" thickBot="1">
      <c r="A26" s="5"/>
      <c r="B26" s="10" t="s">
        <v>1</v>
      </c>
      <c r="C26" s="10">
        <f>SUM(C23:C25)</f>
        <v>1.0509999999999999</v>
      </c>
      <c r="D26" s="11">
        <f>C26*积分规则2</f>
        <v>0</v>
      </c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</row>
    <row r="27" spans="1:21" ht="16.2" thickTop="1"/>
  </sheetData>
  <mergeCells count="10">
    <mergeCell ref="A17:C17"/>
    <mergeCell ref="A21:D21"/>
    <mergeCell ref="A12:C12"/>
    <mergeCell ref="F5:G5"/>
    <mergeCell ref="E1:H1"/>
    <mergeCell ref="F2:G2"/>
    <mergeCell ref="F4:G4"/>
    <mergeCell ref="F3:G3"/>
    <mergeCell ref="E8:J12"/>
    <mergeCell ref="E17:G17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846B-DF16-45E5-9F2F-EE1184AEFA74}">
  <dimension ref="B1:T81"/>
  <sheetViews>
    <sheetView zoomScaleNormal="100" workbookViewId="0">
      <selection activeCell="F21" sqref="F21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170</v>
      </c>
      <c r="S1" s="1" t="s">
        <v>184</v>
      </c>
    </row>
    <row r="2" spans="2:20" ht="28.2" customHeight="1" thickTop="1" thickBot="1">
      <c r="B2" s="106" t="s">
        <v>209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8"/>
      <c r="R2" s="98" t="s">
        <v>169</v>
      </c>
    </row>
    <row r="3" spans="2:20" ht="24" thickTop="1">
      <c r="B3" s="109" t="s">
        <v>94</v>
      </c>
      <c r="C3" s="111" t="str">
        <f>SUM(C10,E10,G10,I10,K10,M10,O10)*钻石购买 &amp;"钻石"</f>
        <v>3000钻石</v>
      </c>
      <c r="D3" s="112"/>
      <c r="E3" s="112"/>
      <c r="F3" s="112"/>
      <c r="G3" s="112"/>
      <c r="H3" s="112"/>
      <c r="I3" s="113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0元</v>
      </c>
      <c r="J3" s="113"/>
      <c r="K3" s="113"/>
      <c r="L3" s="113"/>
      <c r="M3" s="114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0翡翠</v>
      </c>
      <c r="N3" s="114"/>
      <c r="O3" s="114"/>
      <c r="P3" s="115"/>
    </row>
    <row r="4" spans="2:20" ht="21" thickBot="1">
      <c r="B4" s="110"/>
      <c r="C4" s="116" t="str">
        <f>"最终收益："&amp;ROUNDDOWN(O29,0)&amp;B29&amp;"+"&amp;ROUNDDOWN(O28,0)&amp;B28</f>
        <v>最终收益：8月华糕+460桂香糕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2:20" ht="21.6" thickTop="1" thickBot="1">
      <c r="B5" s="30" t="s">
        <v>153</v>
      </c>
      <c r="C5" s="119" t="s">
        <v>206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98" t="s">
        <v>153</v>
      </c>
    </row>
    <row r="6" spans="2:20" ht="16.8" thickTop="1" thickBot="1">
      <c r="B6" s="66" t="s">
        <v>93</v>
      </c>
      <c r="C6" s="122" t="s">
        <v>24</v>
      </c>
      <c r="D6" s="123"/>
      <c r="E6" s="122" t="s">
        <v>25</v>
      </c>
      <c r="F6" s="123"/>
      <c r="G6" s="122" t="s">
        <v>26</v>
      </c>
      <c r="H6" s="123"/>
      <c r="I6" s="122" t="s">
        <v>27</v>
      </c>
      <c r="J6" s="123"/>
      <c r="K6" s="122" t="s">
        <v>28</v>
      </c>
      <c r="L6" s="123"/>
      <c r="M6" s="122" t="s">
        <v>29</v>
      </c>
      <c r="N6" s="123"/>
      <c r="O6" s="122" t="s">
        <v>30</v>
      </c>
      <c r="P6" s="123"/>
      <c r="R6" s="6"/>
      <c r="S6" s="23"/>
      <c r="T6" s="23"/>
    </row>
    <row r="7" spans="2:20" ht="16.8" thickTop="1" thickBot="1">
      <c r="B7" s="13" t="s">
        <v>95</v>
      </c>
      <c r="C7" s="67" t="str">
        <f>抽奖道具</f>
        <v>随机骰子</v>
      </c>
      <c r="D7" s="68" t="s">
        <v>6</v>
      </c>
      <c r="E7" s="67" t="str">
        <f>抽奖道具</f>
        <v>随机骰子</v>
      </c>
      <c r="F7" s="68" t="s">
        <v>6</v>
      </c>
      <c r="G7" s="67" t="str">
        <f>抽奖道具</f>
        <v>随机骰子</v>
      </c>
      <c r="H7" s="68" t="s">
        <v>6</v>
      </c>
      <c r="I7" s="67" t="str">
        <f>抽奖道具</f>
        <v>随机骰子</v>
      </c>
      <c r="J7" s="68" t="s">
        <v>6</v>
      </c>
      <c r="K7" s="67" t="str">
        <f>抽奖道具</f>
        <v>随机骰子</v>
      </c>
      <c r="L7" s="68" t="s">
        <v>6</v>
      </c>
      <c r="M7" s="67" t="str">
        <f>抽奖道具</f>
        <v>随机骰子</v>
      </c>
      <c r="N7" s="68" t="s">
        <v>6</v>
      </c>
      <c r="O7" s="67" t="str">
        <f>抽奖道具</f>
        <v>随机骰子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0</v>
      </c>
      <c r="D8" s="4">
        <f t="shared" ref="D8:P16" si="0">C8*积分规则1</f>
        <v>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30</v>
      </c>
      <c r="D9" s="4">
        <f t="shared" si="0"/>
        <v>60</v>
      </c>
      <c r="E9" s="3">
        <f>每日任务抽奖道具数量</f>
        <v>30</v>
      </c>
      <c r="F9" s="4">
        <f t="shared" si="1"/>
        <v>60</v>
      </c>
      <c r="G9" s="3">
        <f>每日任务抽奖道具数量</f>
        <v>30</v>
      </c>
      <c r="H9" s="4">
        <f t="shared" si="2"/>
        <v>60</v>
      </c>
      <c r="I9" s="3">
        <f>每日任务抽奖道具数量</f>
        <v>30</v>
      </c>
      <c r="J9" s="4">
        <f t="shared" si="3"/>
        <v>60</v>
      </c>
      <c r="K9" s="3">
        <f>每日任务抽奖道具数量</f>
        <v>30</v>
      </c>
      <c r="L9" s="4">
        <f t="shared" si="4"/>
        <v>60</v>
      </c>
      <c r="M9" s="3">
        <f>每日任务抽奖道具数量</f>
        <v>30</v>
      </c>
      <c r="N9" s="4">
        <f t="shared" si="5"/>
        <v>60</v>
      </c>
      <c r="O9" s="3">
        <f>每日任务抽奖道具数量</f>
        <v>30</v>
      </c>
      <c r="P9" s="4">
        <f t="shared" si="6"/>
        <v>60</v>
      </c>
    </row>
    <row r="10" spans="2:20" ht="16.8" thickTop="1" thickBot="1">
      <c r="B10" s="14" t="s">
        <v>17</v>
      </c>
      <c r="C10" s="3">
        <v>0</v>
      </c>
      <c r="D10" s="4">
        <f t="shared" si="0"/>
        <v>0</v>
      </c>
      <c r="E10" s="3">
        <v>0</v>
      </c>
      <c r="F10" s="4">
        <f t="shared" si="1"/>
        <v>0</v>
      </c>
      <c r="G10" s="3">
        <v>0</v>
      </c>
      <c r="H10" s="4">
        <f t="shared" si="2"/>
        <v>0</v>
      </c>
      <c r="I10" s="3">
        <v>10</v>
      </c>
      <c r="J10" s="4">
        <f t="shared" si="3"/>
        <v>20</v>
      </c>
      <c r="K10" s="3">
        <v>10</v>
      </c>
      <c r="L10" s="4">
        <f t="shared" si="4"/>
        <v>20</v>
      </c>
      <c r="M10" s="3">
        <v>10</v>
      </c>
      <c r="N10" s="4">
        <f t="shared" si="5"/>
        <v>20</v>
      </c>
      <c r="O10" s="3">
        <v>0</v>
      </c>
      <c r="P10" s="4">
        <f t="shared" si="6"/>
        <v>0</v>
      </c>
      <c r="R10" s="98" t="s">
        <v>176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75</v>
      </c>
      <c r="P11" s="4">
        <f t="shared" si="6"/>
        <v>150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2</v>
      </c>
      <c r="D13" s="4">
        <f t="shared" si="0"/>
        <v>4</v>
      </c>
      <c r="E13" s="3">
        <f>每日广告抽奖道具数量</f>
        <v>2</v>
      </c>
      <c r="F13" s="4">
        <f t="shared" si="0"/>
        <v>4</v>
      </c>
      <c r="G13" s="3">
        <f>每日广告抽奖道具数量</f>
        <v>2</v>
      </c>
      <c r="H13" s="4">
        <f t="shared" si="0"/>
        <v>4</v>
      </c>
      <c r="I13" s="3">
        <f>每日广告抽奖道具数量</f>
        <v>2</v>
      </c>
      <c r="J13" s="4">
        <f t="shared" si="0"/>
        <v>4</v>
      </c>
      <c r="K13" s="3">
        <f>每日广告抽奖道具数量</f>
        <v>2</v>
      </c>
      <c r="L13" s="4">
        <f t="shared" si="0"/>
        <v>4</v>
      </c>
      <c r="M13" s="3">
        <f>每日广告抽奖道具数量</f>
        <v>2</v>
      </c>
      <c r="N13" s="4">
        <f t="shared" si="0"/>
        <v>4</v>
      </c>
      <c r="O13" s="3">
        <f>每日广告抽奖道具数量</f>
        <v>2</v>
      </c>
      <c r="P13" s="4">
        <f t="shared" si="0"/>
        <v>4</v>
      </c>
    </row>
    <row r="14" spans="2:20" ht="16.2" thickBot="1">
      <c r="B14" s="34" t="s">
        <v>73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0</v>
      </c>
      <c r="N15" s="4">
        <f t="shared" si="5"/>
        <v>0</v>
      </c>
      <c r="O15" s="3">
        <f>SUM(P31*抽奖道具礼包1,P32*抽奖道具礼包2,P33*抽奖道具礼包3,P34*抽奖道具礼包4,P35*抽奖道具礼包5,P36*抽奖道具礼包6,P37*抽奖道具礼包7)</f>
        <v>0</v>
      </c>
      <c r="P15" s="4">
        <f t="shared" si="6"/>
        <v>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使用随机骰子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9</v>
      </c>
      <c r="J17" s="4">
        <f>I17*积分规则3</f>
        <v>10.499999999999998</v>
      </c>
      <c r="K17" s="3">
        <v>9</v>
      </c>
      <c r="L17" s="4">
        <f>K17*积分规则3</f>
        <v>10.499999999999998</v>
      </c>
      <c r="M17" s="3">
        <v>9</v>
      </c>
      <c r="N17" s="4">
        <f>M17*积分规则3</f>
        <v>10.499999999999998</v>
      </c>
      <c r="O17" s="3">
        <v>302</v>
      </c>
      <c r="P17" s="4">
        <f>O17*积分规则3</f>
        <v>352.33333333333331</v>
      </c>
      <c r="R17" s="98" t="s">
        <v>175</v>
      </c>
    </row>
    <row r="18" spans="2:19" ht="16.8" thickTop="1" thickBot="1">
      <c r="B18" s="36" t="str">
        <f>"剩余"&amp;抽奖道具</f>
        <v>剩余随机骰子</v>
      </c>
      <c r="C18" s="3">
        <f>C26-C17</f>
        <v>32</v>
      </c>
      <c r="D18" s="87">
        <f>C18*积分规则3</f>
        <v>37.333333333333329</v>
      </c>
      <c r="E18" s="3">
        <f>C18+SUM(E8:E16)-E17</f>
        <v>64</v>
      </c>
      <c r="F18" s="87">
        <f>E18*积分规则3</f>
        <v>74.666666666666657</v>
      </c>
      <c r="G18" s="3">
        <f>E18+SUM(G8:G16)-G17</f>
        <v>96</v>
      </c>
      <c r="H18" s="87">
        <f>G18*积分规则3</f>
        <v>111.99999999999999</v>
      </c>
      <c r="I18" s="3">
        <f>G18+SUM(I8:I16)-I17</f>
        <v>129</v>
      </c>
      <c r="J18" s="87">
        <f>I18*积分规则3</f>
        <v>150.49999999999997</v>
      </c>
      <c r="K18" s="3">
        <f>I18+SUM(K8:K16)-K17</f>
        <v>162</v>
      </c>
      <c r="L18" s="87">
        <f>K18*积分规则3</f>
        <v>188.99999999999997</v>
      </c>
      <c r="M18" s="3">
        <f>K18+SUM(M8:M16)-M17</f>
        <v>195</v>
      </c>
      <c r="N18" s="87">
        <f>M18*积分规则3</f>
        <v>227.49999999999997</v>
      </c>
      <c r="O18" s="3">
        <f>M18+SUM(O8:O16)-O17</f>
        <v>0</v>
      </c>
      <c r="P18" s="87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8</v>
      </c>
      <c r="P19" s="4">
        <f>O19*随机箱积分</f>
        <v>0</v>
      </c>
      <c r="R19" s="98" t="s">
        <v>177</v>
      </c>
      <c r="S19" s="26"/>
    </row>
    <row r="20" spans="2:19" ht="16.8" thickTop="1" thickBot="1">
      <c r="B20" s="36" t="s">
        <v>33</v>
      </c>
      <c r="C20" s="3">
        <f>C27-SUM(C19)+D44*氪金基金随机箱</f>
        <v>0</v>
      </c>
      <c r="D20" s="4">
        <f>C20*随机箱积分</f>
        <v>0</v>
      </c>
      <c r="E20" s="3">
        <f>E27-SUM(C19,E19)+F44*氪金基金随机箱</f>
        <v>0</v>
      </c>
      <c r="F20" s="4">
        <f>E20*随机箱积分</f>
        <v>0</v>
      </c>
      <c r="G20" s="3">
        <f>G27-SUM(C19,E19,G19)+H44*氪金基金随机箱</f>
        <v>0</v>
      </c>
      <c r="H20" s="4">
        <f>G20*随机箱积分</f>
        <v>0</v>
      </c>
      <c r="I20" s="3">
        <f>I27-SUM(C19,E19,G19,I19)+J44*氪金基金随机箱</f>
        <v>1</v>
      </c>
      <c r="J20" s="4">
        <f>I20*随机箱积分</f>
        <v>0</v>
      </c>
      <c r="K20" s="3">
        <f>K27-SUM(C19,E19,G19,I19,K19)+L44*氪金基金随机箱</f>
        <v>2</v>
      </c>
      <c r="L20" s="4">
        <f>K20*随机箱积分</f>
        <v>0</v>
      </c>
      <c r="M20" s="3">
        <f>M27-SUM(C19,E19,G19,I19,K19,M19)+N44*氪金基金随机箱</f>
        <v>3</v>
      </c>
      <c r="N20" s="4">
        <f>M20*随机箱积分</f>
        <v>0</v>
      </c>
      <c r="O20" s="3">
        <f>O27-SUM(C19,E19,G19,I19,K19,M19,O19)+P44*氪金基金随机箱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兑换月华糕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8" t="s">
        <v>179</v>
      </c>
    </row>
    <row r="22" spans="2:19" ht="16.2" thickTop="1">
      <c r="B22" s="70" t="str">
        <f xml:space="preserve"> "氪金"&amp;高级兑换道具</f>
        <v>氪金月华糕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98</v>
      </c>
      <c r="C24" s="42" t="str">
        <f>IFERROR(LOOKUP(D24,档位积分1:档位积分5,第1档:第5档),"无奖励")</f>
        <v>无奖励</v>
      </c>
      <c r="D24" s="43">
        <f>SUM(D8:D17)+D19+SUM(D21:D23)</f>
        <v>64</v>
      </c>
      <c r="E24" s="44" t="str">
        <f>IFERROR(LOOKUP(F24,档位积分1:档位积分5,第1档:第5档),"无奖励")</f>
        <v>无奖励</v>
      </c>
      <c r="F24" s="43">
        <f>SUM(F8:F17)+F19+SUM(F21:F23)</f>
        <v>64</v>
      </c>
      <c r="G24" s="44" t="str">
        <f>IFERROR(LOOKUP(H24,档位积分1:档位积分5,第1档:第5档),"无奖励")</f>
        <v>无奖励</v>
      </c>
      <c r="H24" s="43">
        <f>SUM(H8:H17)+H19+SUM(H21:H23)</f>
        <v>64</v>
      </c>
      <c r="I24" s="44" t="str">
        <f>IFERROR(LOOKUP(J24,档位积分1:档位积分5,第1档:第5档),"无奖励")</f>
        <v>第1档</v>
      </c>
      <c r="J24" s="43">
        <f>SUM(J8:J17)+J19+SUM(J21:J23)</f>
        <v>94.5</v>
      </c>
      <c r="K24" s="44" t="str">
        <f>IFERROR(LOOKUP(L24,档位积分1:档位积分5,第1档:第5档),"无奖励")</f>
        <v>第1档</v>
      </c>
      <c r="L24" s="43">
        <f>SUM(L8:L17)+L19+SUM(L21:L23)</f>
        <v>94.5</v>
      </c>
      <c r="M24" s="44" t="str">
        <f>IFERROR(LOOKUP(N24,档位积分1:档位积分5,第1档:第5档),"无奖励")</f>
        <v>第1档</v>
      </c>
      <c r="N24" s="43">
        <f>SUM(N8:N17)+N19+SUM(N21:N23)</f>
        <v>94.5</v>
      </c>
      <c r="O24" s="44" t="str">
        <f>IFERROR(LOOKUP(P24,档位积分1:档位积分5,第1档:第5档),"无奖励")</f>
        <v>第3档</v>
      </c>
      <c r="P24" s="43">
        <f>SUM(P8:P17)+P19+SUM(P21:P23)</f>
        <v>566.33333333333326</v>
      </c>
    </row>
    <row r="25" spans="2:19" ht="16.8" thickTop="1" thickBot="1">
      <c r="B25" s="13" t="s">
        <v>99</v>
      </c>
      <c r="C25" s="85" t="str">
        <f>IF(C24="无奖励", "",
   D24-INDEX(档位积分1:档位积分5, MATCH(D24, 档位积分1:档位积分5, 1)))</f>
        <v/>
      </c>
      <c r="D25" s="86">
        <f>IF(D24&gt;=MAX(档位积分1:档位积分5), "",
   IF(D24&lt;MIN(档位积分1:档位积分5), MIN(档位积分1:档位积分5),
      INDEX(档位积分1:档位积分5, MATCH(D24, 档位积分1:档位积分5, 1)+1)))-D24</f>
        <v>26</v>
      </c>
      <c r="E25" s="85" t="str">
        <f>IF(E24="无奖励", "",
   F24-INDEX(档位积分1:档位积分5, MATCH(F24, 档位积分1:档位积分5, 1)))</f>
        <v/>
      </c>
      <c r="F25" s="86">
        <f>IF(F24&gt;=MAX(档位积分1:档位积分5), "",
   IF(F24&lt;MIN(档位积分1:档位积分5), MIN(档位积分1:档位积分5),
      INDEX(档位积分1:档位积分5, MATCH(F24, 档位积分1:档位积分5, 1)+1)))-F24</f>
        <v>26</v>
      </c>
      <c r="G25" s="85" t="str">
        <f>IF(G24="无奖励", "",
   H24-INDEX(档位积分1:档位积分5, MATCH(H24, 档位积分1:档位积分5, 1)))</f>
        <v/>
      </c>
      <c r="H25" s="86">
        <f>IF(H24&gt;=MAX(档位积分1:档位积分5), "",
   IF(H24&lt;MIN(档位积分1:档位积分5), MIN(档位积分1:档位积分5),
      INDEX(档位积分1:档位积分5, MATCH(H24, 档位积分1:档位积分5, 1)+1)))-H24</f>
        <v>26</v>
      </c>
      <c r="I25" s="85">
        <f>IF(I24="无奖励", "",
   J24-INDEX(档位积分1:档位积分5, MATCH(J24, 档位积分1:档位积分5, 1)))</f>
        <v>4.5</v>
      </c>
      <c r="J25" s="86">
        <f>IF(J24&gt;=MAX(档位积分1:档位积分5), "",
   IF(J24&lt;MIN(档位积分1:档位积分5), MIN(档位积分1:档位积分5),
      INDEX(档位积分1:档位积分5, MATCH(J24, 档位积分1:档位积分5, 1)+1)))-J24</f>
        <v>205.5</v>
      </c>
      <c r="K25" s="85">
        <f>IF(K24="无奖励", "",
   L24-INDEX(档位积分1:档位积分5, MATCH(L24, 档位积分1:档位积分5, 1)))</f>
        <v>4.5</v>
      </c>
      <c r="L25" s="86">
        <f>IF(L24&gt;=MAX(档位积分1:档位积分5), "",
   IF(L24&lt;MIN(档位积分1:档位积分5), MIN(档位积分1:档位积分5),
      INDEX(档位积分1:档位积分5, MATCH(L24, 档位积分1:档位积分5, 1)+1)))-L24</f>
        <v>205.5</v>
      </c>
      <c r="M25" s="85">
        <f>IF(M24="无奖励", "",
   N24-INDEX(档位积分1:档位积分5, MATCH(N24, 档位积分1:档位积分5, 1)))</f>
        <v>4.5</v>
      </c>
      <c r="N25" s="86">
        <f>IF(N24&gt;=MAX(档位积分1:档位积分5), "",
   IF(N24&lt;MIN(档位积分1:档位积分5), MIN(档位积分1:档位积分5),
      INDEX(档位积分1:档位积分5, MATCH(N24, 档位积分1:档位积分5, 1)+1)))-N24</f>
        <v>205.5</v>
      </c>
      <c r="O25" s="85">
        <f>IF(O24="无奖励", "",
   P24-INDEX(档位积分1:档位积分5, MATCH(P24, 档位积分1:档位积分5, 1)))</f>
        <v>44.333333333333258</v>
      </c>
      <c r="P25" s="86">
        <f>IF(P24&gt;=MAX(档位积分1:档位积分5), "",
   IF(P24&lt;MIN(档位积分1:档位积分5), MIN(档位积分1:档位积分5),
      INDEX(档位积分1:档位积分5, MATCH(P24, 档位积分1:档位积分5, 1)+1)))-P24</f>
        <v>675.66666666666674</v>
      </c>
    </row>
    <row r="26" spans="2:19" ht="16.2" thickTop="1">
      <c r="B26" s="41" t="str">
        <f>"总"&amp;抽奖道具</f>
        <v>总随机骰子</v>
      </c>
      <c r="C26" s="31">
        <f>SUM(C8:C16)</f>
        <v>32</v>
      </c>
      <c r="D26" s="49">
        <f>C26*积分规则3</f>
        <v>37.333333333333329</v>
      </c>
      <c r="E26" s="31">
        <f>C26+SUM(E8:E16)</f>
        <v>64</v>
      </c>
      <c r="F26" s="49">
        <f>E26*积分规则3</f>
        <v>74.666666666666657</v>
      </c>
      <c r="G26" s="31">
        <f>E26+SUM(G8:G16)</f>
        <v>96</v>
      </c>
      <c r="H26" s="49">
        <f>G26*积分规则3</f>
        <v>111.99999999999999</v>
      </c>
      <c r="I26" s="31">
        <f>G26+SUM(I8:I16)</f>
        <v>138</v>
      </c>
      <c r="J26" s="49">
        <f>I26*积分规则3</f>
        <v>160.99999999999997</v>
      </c>
      <c r="K26" s="31">
        <f>I26+SUM(K8:K16)</f>
        <v>180</v>
      </c>
      <c r="L26" s="49">
        <f>K26*积分规则3</f>
        <v>209.99999999999997</v>
      </c>
      <c r="M26" s="31">
        <f>K26+SUM(M8:M16)</f>
        <v>222</v>
      </c>
      <c r="N26" s="49">
        <f>M26*积分规则3</f>
        <v>258.99999999999994</v>
      </c>
      <c r="O26" s="31">
        <f>M26+SUM(O8:O16)</f>
        <v>329</v>
      </c>
      <c r="P26" s="49">
        <f>O26*积分规则3</f>
        <v>383.83333333333326</v>
      </c>
    </row>
    <row r="27" spans="2:19" ht="16.2" thickBot="1">
      <c r="B27" s="30" t="s">
        <v>41</v>
      </c>
      <c r="C27" s="5">
        <f>IFERROR(LOOKUP(D24,档位积分1:档位积分5,档位奖励1:档位奖励5),0)</f>
        <v>0</v>
      </c>
      <c r="D27" s="12">
        <f>C27*随机箱积分</f>
        <v>0</v>
      </c>
      <c r="E27" s="5">
        <f>IFERROR(LOOKUP(F24,档位积分1:档位积分5,档位奖励1:档位奖励5),0)+C27</f>
        <v>0</v>
      </c>
      <c r="F27" s="12">
        <f>E27*随机箱积分</f>
        <v>0</v>
      </c>
      <c r="G27" s="5">
        <f>IFERROR(LOOKUP(H24,档位积分1:档位积分5,档位奖励1:档位奖励5),0)+E27</f>
        <v>0</v>
      </c>
      <c r="H27" s="12">
        <f>G27*随机箱积分</f>
        <v>0</v>
      </c>
      <c r="I27" s="5">
        <f>IFERROR(LOOKUP(J24,档位积分1:档位积分5,档位奖励1:档位奖励5),0)+G27</f>
        <v>1</v>
      </c>
      <c r="J27" s="12">
        <f>I27*随机箱积分</f>
        <v>0</v>
      </c>
      <c r="K27" s="5">
        <f>IFERROR(LOOKUP(L24,档位积分1:档位积分5,档位奖励1:档位奖励5),0)+I27</f>
        <v>2</v>
      </c>
      <c r="L27" s="12">
        <f>K27*随机箱积分</f>
        <v>0</v>
      </c>
      <c r="M27" s="5">
        <f>IFERROR(LOOKUP(N24,档位积分1:档位积分5,档位奖励1:档位奖励5),0)+K27</f>
        <v>3</v>
      </c>
      <c r="N27" s="12">
        <f>M27*随机箱积分</f>
        <v>0</v>
      </c>
      <c r="O27" s="5">
        <f>IFERROR(LOOKUP(P24,档位积分1:档位积分5,档位奖励1:档位奖励5),0)+M27</f>
        <v>8</v>
      </c>
      <c r="P27" s="12">
        <f>O27*随机箱积分</f>
        <v>0</v>
      </c>
    </row>
    <row r="28" spans="2:19" ht="16.2" thickTop="1">
      <c r="B28" s="33" t="str">
        <f>普通兑换道具</f>
        <v>桂香糕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12.6</v>
      </c>
      <c r="J28" s="46"/>
      <c r="K28" s="45">
        <f>K17*普通兑换道具抽奖期望+I28</f>
        <v>25.2</v>
      </c>
      <c r="L28" s="46"/>
      <c r="M28" s="45">
        <f>M17*普通兑换道具抽奖期望+K28</f>
        <v>37.799999999999997</v>
      </c>
      <c r="N28" s="46"/>
      <c r="O28" s="45">
        <f>O17*普通兑换道具抽奖期望+M28</f>
        <v>460.59999999999997</v>
      </c>
      <c r="P28" s="32"/>
    </row>
    <row r="29" spans="2:19" ht="16.2" thickBot="1">
      <c r="B29" s="34" t="str">
        <f>高级兑换道具</f>
        <v>月华糕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8.4079999999999995</v>
      </c>
      <c r="P29" s="12"/>
    </row>
    <row r="30" spans="2:19" ht="16.8" thickTop="1" thickBot="1">
      <c r="B30" s="41" t="s">
        <v>97</v>
      </c>
      <c r="C30" s="55" t="str">
        <f>C7</f>
        <v>随机骰子</v>
      </c>
      <c r="D30" s="56" t="s">
        <v>96</v>
      </c>
      <c r="E30" s="55" t="str">
        <f>E7</f>
        <v>随机骰子</v>
      </c>
      <c r="F30" s="56" t="s">
        <v>96</v>
      </c>
      <c r="G30" s="55" t="str">
        <f>G7</f>
        <v>随机骰子</v>
      </c>
      <c r="H30" s="56" t="s">
        <v>96</v>
      </c>
      <c r="I30" s="55" t="str">
        <f>I7</f>
        <v>随机骰子</v>
      </c>
      <c r="J30" s="56" t="s">
        <v>96</v>
      </c>
      <c r="K30" s="55" t="str">
        <f>K7</f>
        <v>随机骰子</v>
      </c>
      <c r="L30" s="56" t="s">
        <v>96</v>
      </c>
      <c r="M30" s="55" t="str">
        <f>M7</f>
        <v>随机骰子</v>
      </c>
      <c r="N30" s="56" t="s">
        <v>96</v>
      </c>
      <c r="O30" s="55" t="str">
        <f>O7</f>
        <v>随机骰子</v>
      </c>
      <c r="P30" s="56" t="s">
        <v>96</v>
      </c>
    </row>
    <row r="31" spans="2:19" ht="16.2" customHeight="1" thickTop="1">
      <c r="B31" s="59" t="str">
        <f>抽奖道具 &amp; "礼包Ⅰ"</f>
        <v>随机骰子礼包Ⅰ</v>
      </c>
      <c r="C31" s="39">
        <f>抽奖道具礼包1</f>
        <v>30</v>
      </c>
      <c r="D31" s="24">
        <v>0</v>
      </c>
      <c r="E31" s="39">
        <f>抽奖道具礼包1</f>
        <v>30</v>
      </c>
      <c r="F31" s="24">
        <v>0</v>
      </c>
      <c r="G31" s="39">
        <f>抽奖道具礼包1</f>
        <v>30</v>
      </c>
      <c r="H31" s="24">
        <v>0</v>
      </c>
      <c r="I31" s="39">
        <f>抽奖道具礼包1</f>
        <v>30</v>
      </c>
      <c r="J31" s="24">
        <v>0</v>
      </c>
      <c r="K31" s="39">
        <f>抽奖道具礼包1</f>
        <v>30</v>
      </c>
      <c r="L31" s="24">
        <v>0</v>
      </c>
      <c r="M31" s="39">
        <f>抽奖道具礼包1</f>
        <v>30</v>
      </c>
      <c r="N31" s="24">
        <v>0</v>
      </c>
      <c r="O31" s="39">
        <f>抽奖道具礼包1</f>
        <v>30</v>
      </c>
      <c r="P31" s="24">
        <v>0</v>
      </c>
      <c r="R31" s="126" t="s">
        <v>183</v>
      </c>
    </row>
    <row r="32" spans="2:19">
      <c r="B32" s="99" t="str">
        <f>抽奖道具 &amp; "礼包Ⅱ"</f>
        <v>随机骰子礼包Ⅱ</v>
      </c>
      <c r="C32" s="39">
        <f>抽奖道具礼包2</f>
        <v>45</v>
      </c>
      <c r="D32" s="24">
        <v>0</v>
      </c>
      <c r="E32" s="39">
        <f>抽奖道具礼包2</f>
        <v>45</v>
      </c>
      <c r="F32" s="24">
        <v>0</v>
      </c>
      <c r="G32" s="39">
        <f>抽奖道具礼包2</f>
        <v>45</v>
      </c>
      <c r="H32" s="24">
        <v>0</v>
      </c>
      <c r="I32" s="39">
        <f>抽奖道具礼包2</f>
        <v>45</v>
      </c>
      <c r="J32" s="24">
        <v>0</v>
      </c>
      <c r="K32" s="39">
        <f>抽奖道具礼包2</f>
        <v>45</v>
      </c>
      <c r="L32" s="24">
        <v>0</v>
      </c>
      <c r="M32" s="39">
        <f>抽奖道具礼包2</f>
        <v>45</v>
      </c>
      <c r="N32" s="24">
        <v>0</v>
      </c>
      <c r="O32" s="39">
        <f>抽奖道具礼包2</f>
        <v>45</v>
      </c>
      <c r="P32" s="24">
        <v>0</v>
      </c>
      <c r="R32" s="127"/>
    </row>
    <row r="33" spans="2:18">
      <c r="B33" s="99" t="str">
        <f>抽奖道具 &amp; "礼包Ⅲ"</f>
        <v>随机骰子礼包Ⅲ</v>
      </c>
      <c r="C33" s="39">
        <f>抽奖道具礼包3</f>
        <v>90</v>
      </c>
      <c r="D33" s="24">
        <v>0</v>
      </c>
      <c r="E33" s="39">
        <f>抽奖道具礼包3</f>
        <v>90</v>
      </c>
      <c r="F33" s="24">
        <v>0</v>
      </c>
      <c r="G33" s="39">
        <f>抽奖道具礼包3</f>
        <v>90</v>
      </c>
      <c r="H33" s="24">
        <v>0</v>
      </c>
      <c r="I33" s="39">
        <f>抽奖道具礼包3</f>
        <v>90</v>
      </c>
      <c r="J33" s="24">
        <v>0</v>
      </c>
      <c r="K33" s="39">
        <f>抽奖道具礼包3</f>
        <v>90</v>
      </c>
      <c r="L33" s="24">
        <v>0</v>
      </c>
      <c r="M33" s="39">
        <f>抽奖道具礼包3</f>
        <v>90</v>
      </c>
      <c r="N33" s="24">
        <v>0</v>
      </c>
      <c r="O33" s="39">
        <f>抽奖道具礼包3</f>
        <v>90</v>
      </c>
      <c r="P33" s="24">
        <v>0</v>
      </c>
      <c r="R33" s="127"/>
    </row>
    <row r="34" spans="2:18">
      <c r="B34" s="99" t="str">
        <f>抽奖道具 &amp; "礼包Ⅳ"</f>
        <v>随机骰子礼包Ⅳ</v>
      </c>
      <c r="C34" s="39">
        <f>抽奖道具礼包4</f>
        <v>150</v>
      </c>
      <c r="D34" s="24">
        <v>0</v>
      </c>
      <c r="E34" s="39">
        <f>抽奖道具礼包4</f>
        <v>150</v>
      </c>
      <c r="F34" s="24">
        <v>0</v>
      </c>
      <c r="G34" s="39">
        <f>抽奖道具礼包4</f>
        <v>150</v>
      </c>
      <c r="H34" s="24">
        <v>0</v>
      </c>
      <c r="I34" s="39">
        <f>抽奖道具礼包4</f>
        <v>150</v>
      </c>
      <c r="J34" s="24">
        <v>0</v>
      </c>
      <c r="K34" s="39">
        <f>抽奖道具礼包4</f>
        <v>150</v>
      </c>
      <c r="L34" s="24">
        <v>0</v>
      </c>
      <c r="M34" s="39">
        <f>抽奖道具礼包4</f>
        <v>150</v>
      </c>
      <c r="N34" s="24">
        <v>0</v>
      </c>
      <c r="O34" s="39">
        <f>抽奖道具礼包4</f>
        <v>150</v>
      </c>
      <c r="P34" s="24">
        <v>0</v>
      </c>
      <c r="R34" s="127"/>
    </row>
    <row r="35" spans="2:18">
      <c r="B35" s="99" t="str">
        <f>抽奖道具 &amp; "礼包Ⅴ"</f>
        <v>随机骰子礼包Ⅴ</v>
      </c>
      <c r="C35" s="39">
        <f>抽奖道具礼包5</f>
        <v>270</v>
      </c>
      <c r="D35" s="24">
        <v>0</v>
      </c>
      <c r="E35" s="39">
        <f>抽奖道具礼包5</f>
        <v>270</v>
      </c>
      <c r="F35" s="24">
        <v>0</v>
      </c>
      <c r="G35" s="39">
        <f>抽奖道具礼包5</f>
        <v>270</v>
      </c>
      <c r="H35" s="24">
        <v>0</v>
      </c>
      <c r="I35" s="39">
        <f>抽奖道具礼包5</f>
        <v>270</v>
      </c>
      <c r="J35" s="24">
        <v>0</v>
      </c>
      <c r="K35" s="39">
        <f>抽奖道具礼包5</f>
        <v>270</v>
      </c>
      <c r="L35" s="24">
        <v>0</v>
      </c>
      <c r="M35" s="39">
        <f>抽奖道具礼包5</f>
        <v>270</v>
      </c>
      <c r="N35" s="24">
        <v>0</v>
      </c>
      <c r="O35" s="39">
        <f>抽奖道具礼包5</f>
        <v>270</v>
      </c>
      <c r="P35" s="24">
        <v>0</v>
      </c>
      <c r="R35" s="127"/>
    </row>
    <row r="36" spans="2:18">
      <c r="B36" s="99" t="str">
        <f>抽奖道具 &amp; "礼包Ⅵ"</f>
        <v>随机骰子礼包Ⅵ</v>
      </c>
      <c r="C36" s="39">
        <f>抽奖道具礼包6</f>
        <v>0</v>
      </c>
      <c r="D36" s="24">
        <v>0</v>
      </c>
      <c r="E36" s="39">
        <f>抽奖道具礼包6</f>
        <v>0</v>
      </c>
      <c r="F36" s="24">
        <v>0</v>
      </c>
      <c r="G36" s="39">
        <f>抽奖道具礼包6</f>
        <v>0</v>
      </c>
      <c r="H36" s="24">
        <v>0</v>
      </c>
      <c r="I36" s="39">
        <f>抽奖道具礼包6</f>
        <v>0</v>
      </c>
      <c r="J36" s="24">
        <v>0</v>
      </c>
      <c r="K36" s="39">
        <f>抽奖道具礼包6</f>
        <v>0</v>
      </c>
      <c r="L36" s="24">
        <v>0</v>
      </c>
      <c r="M36" s="39">
        <f>抽奖道具礼包6</f>
        <v>0</v>
      </c>
      <c r="N36" s="24">
        <v>0</v>
      </c>
      <c r="O36" s="39">
        <f>抽奖道具礼包6</f>
        <v>0</v>
      </c>
      <c r="P36" s="24">
        <v>0</v>
      </c>
      <c r="R36" s="127"/>
    </row>
    <row r="37" spans="2:18" ht="16.2" thickBot="1">
      <c r="B37" s="100" t="str">
        <f>抽奖道具 &amp; "礼包Ⅶ"</f>
        <v>随机骰子礼包Ⅶ</v>
      </c>
      <c r="C37" s="57">
        <f>抽奖道具礼包7</f>
        <v>0</v>
      </c>
      <c r="D37" s="12">
        <v>0</v>
      </c>
      <c r="E37" s="57">
        <f>抽奖道具礼包7</f>
        <v>0</v>
      </c>
      <c r="F37" s="12">
        <v>0</v>
      </c>
      <c r="G37" s="57">
        <f>抽奖道具礼包7</f>
        <v>0</v>
      </c>
      <c r="H37" s="12">
        <v>0</v>
      </c>
      <c r="I37" s="57">
        <f>抽奖道具礼包7</f>
        <v>0</v>
      </c>
      <c r="J37" s="12">
        <v>0</v>
      </c>
      <c r="K37" s="57">
        <f>抽奖道具礼包7</f>
        <v>0</v>
      </c>
      <c r="L37" s="12">
        <v>0</v>
      </c>
      <c r="M37" s="57">
        <f>抽奖道具礼包7</f>
        <v>0</v>
      </c>
      <c r="N37" s="12">
        <v>0</v>
      </c>
      <c r="O37" s="57">
        <f>抽奖道具礼包7</f>
        <v>0</v>
      </c>
      <c r="P37" s="12">
        <v>0</v>
      </c>
      <c r="R37" s="127"/>
    </row>
    <row r="38" spans="2:18" ht="16.8" thickTop="1" thickBot="1">
      <c r="B38" s="39" t="s">
        <v>97</v>
      </c>
      <c r="C38" s="55" t="str">
        <f>高级兑换道具</f>
        <v>月华糕</v>
      </c>
      <c r="D38" s="56" t="s">
        <v>96</v>
      </c>
      <c r="E38" s="55" t="str">
        <f>高级兑换道具</f>
        <v>月华糕</v>
      </c>
      <c r="F38" s="56" t="s">
        <v>96</v>
      </c>
      <c r="G38" s="55" t="str">
        <f>高级兑换道具</f>
        <v>月华糕</v>
      </c>
      <c r="H38" s="56" t="s">
        <v>96</v>
      </c>
      <c r="I38" s="55" t="str">
        <f>高级兑换道具</f>
        <v>月华糕</v>
      </c>
      <c r="J38" s="56" t="s">
        <v>96</v>
      </c>
      <c r="K38" s="55" t="str">
        <f>高级兑换道具</f>
        <v>月华糕</v>
      </c>
      <c r="L38" s="56" t="s">
        <v>96</v>
      </c>
      <c r="M38" s="55" t="str">
        <f>高级兑换道具</f>
        <v>月华糕</v>
      </c>
      <c r="N38" s="56" t="s">
        <v>96</v>
      </c>
      <c r="O38" s="55" t="str">
        <f>高级兑换道具</f>
        <v>月华糕</v>
      </c>
      <c r="P38" s="56" t="s">
        <v>96</v>
      </c>
      <c r="R38" s="127"/>
    </row>
    <row r="39" spans="2:18" ht="16.2" customHeight="1" thickTop="1">
      <c r="B39" s="91" t="str">
        <f>高级兑换道具 &amp; "礼包Ⅰ"</f>
        <v>月华糕礼包Ⅰ</v>
      </c>
      <c r="C39" s="18">
        <f>高级兑换道具礼包1</f>
        <v>2</v>
      </c>
      <c r="D39" s="32">
        <v>0</v>
      </c>
      <c r="E39" s="18">
        <f>高级兑换道具礼包1</f>
        <v>2</v>
      </c>
      <c r="F39" s="32">
        <v>0</v>
      </c>
      <c r="G39" s="18">
        <f>高级兑换道具礼包1</f>
        <v>2</v>
      </c>
      <c r="H39" s="32">
        <v>0</v>
      </c>
      <c r="I39" s="18">
        <f>高级兑换道具礼包1</f>
        <v>2</v>
      </c>
      <c r="J39" s="32">
        <v>0</v>
      </c>
      <c r="K39" s="18">
        <f>高级兑换道具礼包1</f>
        <v>2</v>
      </c>
      <c r="L39" s="32">
        <v>0</v>
      </c>
      <c r="M39" s="18">
        <f>高级兑换道具礼包1</f>
        <v>2</v>
      </c>
      <c r="N39" s="32">
        <v>0</v>
      </c>
      <c r="O39" s="18">
        <f>高级兑换道具礼包1</f>
        <v>2</v>
      </c>
      <c r="P39" s="32">
        <v>0</v>
      </c>
      <c r="R39" s="127"/>
    </row>
    <row r="40" spans="2:18">
      <c r="B40" s="92" t="str">
        <f>高级兑换道具 &amp; "礼包Ⅱ"</f>
        <v>月华糕礼包Ⅱ</v>
      </c>
      <c r="C40" s="39">
        <f>高级兑换道具礼包2</f>
        <v>4</v>
      </c>
      <c r="D40" s="4">
        <v>0</v>
      </c>
      <c r="E40" s="39">
        <f>高级兑换道具礼包2</f>
        <v>4</v>
      </c>
      <c r="F40" s="4">
        <v>0</v>
      </c>
      <c r="G40" s="39">
        <f>高级兑换道具礼包2</f>
        <v>4</v>
      </c>
      <c r="H40" s="4">
        <v>0</v>
      </c>
      <c r="I40" s="39">
        <f>高级兑换道具礼包2</f>
        <v>4</v>
      </c>
      <c r="J40" s="4">
        <v>0</v>
      </c>
      <c r="K40" s="39">
        <f>高级兑换道具礼包2</f>
        <v>4</v>
      </c>
      <c r="L40" s="4">
        <v>0</v>
      </c>
      <c r="M40" s="39">
        <f>高级兑换道具礼包2</f>
        <v>4</v>
      </c>
      <c r="N40" s="4">
        <v>0</v>
      </c>
      <c r="O40" s="39">
        <f>高级兑换道具礼包2</f>
        <v>4</v>
      </c>
      <c r="P40" s="4">
        <v>0</v>
      </c>
      <c r="R40" s="127"/>
    </row>
    <row r="41" spans="2:18">
      <c r="B41" s="92" t="str">
        <f>高级兑换道具 &amp; "礼包Ⅲ"</f>
        <v>月华糕礼包Ⅲ</v>
      </c>
      <c r="C41" s="39">
        <f>高级兑换道具礼包3</f>
        <v>10</v>
      </c>
      <c r="D41" s="4">
        <v>0</v>
      </c>
      <c r="E41" s="39">
        <f>高级兑换道具礼包3</f>
        <v>10</v>
      </c>
      <c r="F41" s="4">
        <v>0</v>
      </c>
      <c r="G41" s="39">
        <f>高级兑换道具礼包3</f>
        <v>10</v>
      </c>
      <c r="H41" s="4">
        <v>0</v>
      </c>
      <c r="I41" s="39">
        <f>高级兑换道具礼包3</f>
        <v>10</v>
      </c>
      <c r="J41" s="4">
        <v>0</v>
      </c>
      <c r="K41" s="39">
        <f>高级兑换道具礼包3</f>
        <v>10</v>
      </c>
      <c r="L41" s="4">
        <v>0</v>
      </c>
      <c r="M41" s="39">
        <f>高级兑换道具礼包3</f>
        <v>10</v>
      </c>
      <c r="N41" s="4">
        <v>0</v>
      </c>
      <c r="O41" s="39">
        <f>高级兑换道具礼包3</f>
        <v>10</v>
      </c>
      <c r="P41" s="4">
        <v>0</v>
      </c>
      <c r="R41" s="127"/>
    </row>
    <row r="42" spans="2:18" ht="16.2" thickBot="1">
      <c r="B42" s="93" t="str">
        <f>高级兑换道具 &amp; "礼包Ⅳ"</f>
        <v>月华糕礼包Ⅳ</v>
      </c>
      <c r="C42" s="57">
        <f>高级兑换道具礼包4</f>
        <v>20</v>
      </c>
      <c r="D42" s="12">
        <v>0</v>
      </c>
      <c r="E42" s="57">
        <f>高级兑换道具礼包4</f>
        <v>20</v>
      </c>
      <c r="F42" s="12">
        <v>0</v>
      </c>
      <c r="G42" s="57">
        <f>高级兑换道具礼包4</f>
        <v>20</v>
      </c>
      <c r="H42" s="12">
        <v>0</v>
      </c>
      <c r="I42" s="57">
        <f>高级兑换道具礼包4</f>
        <v>20</v>
      </c>
      <c r="J42" s="12">
        <v>0</v>
      </c>
      <c r="K42" s="57">
        <f>高级兑换道具礼包4</f>
        <v>20</v>
      </c>
      <c r="L42" s="12">
        <v>0</v>
      </c>
      <c r="M42" s="57">
        <f>高级兑换道具礼包4</f>
        <v>20</v>
      </c>
      <c r="N42" s="12">
        <v>0</v>
      </c>
      <c r="O42" s="57">
        <f>高级兑换道具礼包4</f>
        <v>20</v>
      </c>
      <c r="P42" s="12">
        <v>0</v>
      </c>
      <c r="R42" s="127"/>
    </row>
    <row r="43" spans="2:18" ht="16.8" thickTop="1" thickBot="1">
      <c r="B43" s="129" t="s">
        <v>149</v>
      </c>
      <c r="C43" s="57" t="s">
        <v>152</v>
      </c>
      <c r="D43" s="12">
        <v>0</v>
      </c>
      <c r="E43" s="57" t="s">
        <v>152</v>
      </c>
      <c r="F43" s="12">
        <v>0</v>
      </c>
      <c r="G43" s="57" t="s">
        <v>152</v>
      </c>
      <c r="H43" s="12">
        <v>0</v>
      </c>
      <c r="I43" s="57" t="s">
        <v>152</v>
      </c>
      <c r="J43" s="12">
        <v>0</v>
      </c>
      <c r="K43" s="57" t="s">
        <v>152</v>
      </c>
      <c r="L43" s="12">
        <v>0</v>
      </c>
      <c r="M43" s="57" t="s">
        <v>152</v>
      </c>
      <c r="N43" s="12">
        <v>0</v>
      </c>
      <c r="O43" s="57" t="s">
        <v>152</v>
      </c>
      <c r="P43" s="12">
        <v>1</v>
      </c>
      <c r="R43" s="127"/>
    </row>
    <row r="44" spans="2:18" ht="16.8" thickTop="1" thickBot="1">
      <c r="B44" s="130"/>
      <c r="C44" s="67" t="s">
        <v>151</v>
      </c>
      <c r="D44" s="68">
        <v>0</v>
      </c>
      <c r="E44" s="67" t="s">
        <v>151</v>
      </c>
      <c r="F44" s="68">
        <v>0</v>
      </c>
      <c r="G44" s="67" t="s">
        <v>151</v>
      </c>
      <c r="H44" s="68">
        <v>0</v>
      </c>
      <c r="I44" s="67" t="s">
        <v>151</v>
      </c>
      <c r="J44" s="68">
        <v>0</v>
      </c>
      <c r="K44" s="67" t="s">
        <v>151</v>
      </c>
      <c r="L44" s="68">
        <v>0</v>
      </c>
      <c r="M44" s="67" t="s">
        <v>151</v>
      </c>
      <c r="N44" s="68">
        <v>0</v>
      </c>
      <c r="O44" s="67" t="s">
        <v>151</v>
      </c>
      <c r="P44" s="68">
        <v>0</v>
      </c>
      <c r="R44" s="128"/>
    </row>
    <row r="45" spans="2:18" ht="23.4" customHeight="1" thickTop="1" thickBot="1">
      <c r="B45" s="96" t="s">
        <v>155</v>
      </c>
      <c r="C45" s="131"/>
      <c r="D45" s="132"/>
      <c r="E45" s="133"/>
      <c r="F45" s="132"/>
      <c r="G45" s="133"/>
      <c r="H45" s="132"/>
      <c r="I45" s="133"/>
      <c r="J45" s="132"/>
      <c r="K45" s="133"/>
      <c r="L45" s="132"/>
      <c r="M45" s="133"/>
      <c r="N45" s="132"/>
      <c r="O45" s="133" t="s">
        <v>161</v>
      </c>
      <c r="P45" s="132"/>
      <c r="R45" s="98" t="s">
        <v>180</v>
      </c>
    </row>
    <row r="46" spans="2:18" ht="30" customHeight="1" thickTop="1">
      <c r="B46" s="94" t="s">
        <v>156</v>
      </c>
      <c r="C46" s="137" t="s">
        <v>210</v>
      </c>
      <c r="D46" s="135"/>
      <c r="E46" s="137" t="s">
        <v>210</v>
      </c>
      <c r="F46" s="135"/>
      <c r="G46" s="137" t="s">
        <v>210</v>
      </c>
      <c r="H46" s="135"/>
      <c r="I46" s="137" t="s">
        <v>204</v>
      </c>
      <c r="J46" s="135"/>
      <c r="K46" s="137" t="s">
        <v>204</v>
      </c>
      <c r="L46" s="135"/>
      <c r="M46" s="137" t="s">
        <v>204</v>
      </c>
      <c r="N46" s="135"/>
      <c r="O46" s="137" t="s">
        <v>210</v>
      </c>
      <c r="P46" s="135"/>
      <c r="R46" s="126" t="s">
        <v>181</v>
      </c>
    </row>
    <row r="47" spans="2:18" ht="30" customHeight="1">
      <c r="B47" s="94" t="s">
        <v>157</v>
      </c>
      <c r="C47" s="136" t="s">
        <v>163</v>
      </c>
      <c r="D47" s="105"/>
      <c r="E47" s="136" t="s">
        <v>163</v>
      </c>
      <c r="F47" s="105"/>
      <c r="G47" s="136" t="s">
        <v>163</v>
      </c>
      <c r="H47" s="105"/>
      <c r="I47" s="136" t="s">
        <v>163</v>
      </c>
      <c r="J47" s="105"/>
      <c r="K47" s="136" t="s">
        <v>163</v>
      </c>
      <c r="L47" s="105"/>
      <c r="M47" s="136" t="s">
        <v>163</v>
      </c>
      <c r="N47" s="105"/>
      <c r="O47" s="136" t="s">
        <v>163</v>
      </c>
      <c r="P47" s="105"/>
      <c r="R47" s="127"/>
    </row>
    <row r="48" spans="2:18" ht="30" customHeight="1">
      <c r="B48" s="94" t="s">
        <v>158</v>
      </c>
      <c r="C48" s="137" t="s">
        <v>164</v>
      </c>
      <c r="D48" s="135"/>
      <c r="E48" s="137" t="s">
        <v>164</v>
      </c>
      <c r="F48" s="135"/>
      <c r="G48" s="137" t="s">
        <v>164</v>
      </c>
      <c r="H48" s="135"/>
      <c r="I48" s="137" t="s">
        <v>205</v>
      </c>
      <c r="J48" s="135"/>
      <c r="K48" s="137" t="s">
        <v>205</v>
      </c>
      <c r="L48" s="135"/>
      <c r="M48" s="137" t="s">
        <v>205</v>
      </c>
      <c r="N48" s="135"/>
      <c r="O48" s="137" t="s">
        <v>211</v>
      </c>
      <c r="P48" s="135"/>
      <c r="R48" s="127"/>
    </row>
    <row r="49" spans="2:19" ht="30" customHeight="1">
      <c r="B49" s="94" t="s">
        <v>159</v>
      </c>
      <c r="C49" s="137"/>
      <c r="D49" s="135"/>
      <c r="E49" s="137"/>
      <c r="F49" s="135"/>
      <c r="G49" s="137"/>
      <c r="H49" s="135"/>
      <c r="I49" s="137"/>
      <c r="J49" s="135"/>
      <c r="K49" s="137"/>
      <c r="L49" s="135"/>
      <c r="M49" s="137"/>
      <c r="N49" s="135"/>
      <c r="O49" s="137"/>
      <c r="P49" s="135"/>
      <c r="R49" s="127"/>
    </row>
    <row r="50" spans="2:19" ht="30" customHeight="1" thickBot="1">
      <c r="B50" s="97" t="s">
        <v>160</v>
      </c>
      <c r="C50" s="137"/>
      <c r="D50" s="135"/>
      <c r="E50" s="137"/>
      <c r="F50" s="135"/>
      <c r="G50" s="137"/>
      <c r="H50" s="135"/>
      <c r="I50" s="137"/>
      <c r="J50" s="135"/>
      <c r="K50" s="137"/>
      <c r="L50" s="135"/>
      <c r="M50" s="137"/>
      <c r="N50" s="135"/>
      <c r="O50" s="137"/>
      <c r="P50" s="135"/>
      <c r="Q50" s="23"/>
      <c r="R50" s="128"/>
      <c r="S50" s="23"/>
    </row>
    <row r="51" spans="2:19" ht="17.399999999999999" thickTop="1" thickBot="1">
      <c r="B51" s="139" t="s">
        <v>34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76"/>
      <c r="R51" s="6"/>
      <c r="S51" s="6"/>
    </row>
    <row r="52" spans="2:19" ht="19.95" customHeight="1" thickTop="1" thickBot="1">
      <c r="B52" s="143" t="s">
        <v>167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R52" s="126" t="s">
        <v>182</v>
      </c>
      <c r="S52" s="6"/>
    </row>
    <row r="53" spans="2:19" ht="19.95" customHeight="1" thickTop="1" thickBot="1">
      <c r="B53" s="143" t="s">
        <v>217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R53" s="127"/>
      <c r="S53" s="6"/>
    </row>
    <row r="54" spans="2:19" ht="19.95" customHeight="1" thickTop="1" thickBot="1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5"/>
      <c r="R54" s="127"/>
      <c r="S54" s="6"/>
    </row>
    <row r="55" spans="2:19" ht="19.95" customHeight="1" thickTop="1" thickBot="1">
      <c r="B55" s="14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5"/>
      <c r="R55" s="128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95"/>
      <c r="C57" s="95"/>
      <c r="D57" s="95"/>
      <c r="K57" s="138"/>
      <c r="L57" s="138"/>
      <c r="M57" s="138"/>
      <c r="N57" s="138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95"/>
      <c r="C61" s="95"/>
      <c r="D61" s="95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K57:N57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E48:F48"/>
    <mergeCell ref="G48:H48"/>
    <mergeCell ref="I48:J48"/>
    <mergeCell ref="K48:L48"/>
    <mergeCell ref="M48:N48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C5:P5"/>
    <mergeCell ref="C6:D6"/>
    <mergeCell ref="E6:F6"/>
    <mergeCell ref="G6:H6"/>
    <mergeCell ref="I6:J6"/>
    <mergeCell ref="K6:L6"/>
    <mergeCell ref="M6:N6"/>
    <mergeCell ref="O6:P6"/>
    <mergeCell ref="B2:P2"/>
    <mergeCell ref="B3:B4"/>
    <mergeCell ref="C3:H3"/>
    <mergeCell ref="I3:L3"/>
    <mergeCell ref="M3:P3"/>
    <mergeCell ref="C4:P4"/>
  </mergeCells>
  <phoneticPr fontId="7" type="noConversion"/>
  <conditionalFormatting sqref="B10:P10">
    <cfRule type="cellIs" dxfId="83" priority="9" operator="greaterThan">
      <formula>0</formula>
    </cfRule>
  </conditionalFormatting>
  <conditionalFormatting sqref="B13:P13">
    <cfRule type="cellIs" dxfId="82" priority="3" operator="greaterThan">
      <formula>0</formula>
    </cfRule>
  </conditionalFormatting>
  <conditionalFormatting sqref="B14:P14">
    <cfRule type="cellIs" dxfId="81" priority="6" operator="greaterThan">
      <formula>0</formula>
    </cfRule>
  </conditionalFormatting>
  <conditionalFormatting sqref="C11:P11">
    <cfRule type="cellIs" dxfId="80" priority="7" operator="greaterThan">
      <formula>0</formula>
    </cfRule>
  </conditionalFormatting>
  <conditionalFormatting sqref="C15:P15 D31:D37 F31:F37 H31:H37 J31:J37 L31:L37 N31:N37 P31:P37">
    <cfRule type="cellIs" dxfId="79" priority="5" operator="greaterThan">
      <formula>0</formula>
    </cfRule>
  </conditionalFormatting>
  <conditionalFormatting sqref="C15:P16">
    <cfRule type="cellIs" dxfId="78" priority="8" operator="greaterThan">
      <formula>0</formula>
    </cfRule>
  </conditionalFormatting>
  <conditionalFormatting sqref="C17:P17">
    <cfRule type="cellIs" dxfId="77" priority="12" operator="greaterThan">
      <formula>0</formula>
    </cfRule>
  </conditionalFormatting>
  <conditionalFormatting sqref="C19:P19">
    <cfRule type="cellIs" dxfId="76" priority="10" operator="greaterThan">
      <formula>0</formula>
    </cfRule>
  </conditionalFormatting>
  <conditionalFormatting sqref="C21:P21">
    <cfRule type="cellIs" dxfId="75" priority="11" operator="greaterThan">
      <formula>0</formula>
    </cfRule>
  </conditionalFormatting>
  <conditionalFormatting sqref="C22:P22 D39:D42 F39:F42 H39:H42 J39:J42 L39:L42 N39:N42 P39:P42">
    <cfRule type="cellIs" dxfId="74" priority="4" operator="greaterThan">
      <formula>0</formula>
    </cfRule>
  </conditionalFormatting>
  <conditionalFormatting sqref="D43 F43 H43 J43 L43 N43 P43">
    <cfRule type="cellIs" dxfId="73" priority="1" operator="greaterThan">
      <formula>0</formula>
    </cfRule>
  </conditionalFormatting>
  <conditionalFormatting sqref="D44 F44 H44 J44 L44 N44 P44">
    <cfRule type="cellIs" dxfId="7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B724-B8CB-496F-8B34-1E1745D99BAD}">
  <dimension ref="B1:T81"/>
  <sheetViews>
    <sheetView zoomScaleNormal="100" workbookViewId="0">
      <selection activeCell="B53" sqref="B53:P53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170</v>
      </c>
      <c r="S1" s="1" t="s">
        <v>184</v>
      </c>
    </row>
    <row r="2" spans="2:20" ht="28.2" customHeight="1" thickTop="1" thickBot="1">
      <c r="B2" s="106" t="s">
        <v>207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8"/>
      <c r="R2" s="98" t="s">
        <v>169</v>
      </c>
    </row>
    <row r="3" spans="2:20" ht="24" thickTop="1">
      <c r="B3" s="109" t="s">
        <v>94</v>
      </c>
      <c r="C3" s="111" t="str">
        <f>SUM(C10,E10,G10,I10,K10,M10,O10)*钻石购买 &amp;"钻石"</f>
        <v>13000钻石</v>
      </c>
      <c r="D3" s="112"/>
      <c r="E3" s="112"/>
      <c r="F3" s="112"/>
      <c r="G3" s="112"/>
      <c r="H3" s="112"/>
      <c r="I3" s="113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0元</v>
      </c>
      <c r="J3" s="113"/>
      <c r="K3" s="113"/>
      <c r="L3" s="113"/>
      <c r="M3" s="114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0翡翠</v>
      </c>
      <c r="N3" s="114"/>
      <c r="O3" s="114"/>
      <c r="P3" s="115"/>
    </row>
    <row r="4" spans="2:20" ht="21" thickBot="1">
      <c r="B4" s="110"/>
      <c r="C4" s="116" t="str">
        <f>"最终收益："&amp;ROUNDDOWN(O29,0)&amp;B29&amp;"+"&amp;ROUNDDOWN(O28,0)&amp;B28</f>
        <v>最终收益：12月华糕+600桂香糕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2:20" ht="21.6" thickTop="1" thickBot="1">
      <c r="B5" s="30" t="s">
        <v>153</v>
      </c>
      <c r="C5" s="119" t="s">
        <v>208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98" t="s">
        <v>153</v>
      </c>
    </row>
    <row r="6" spans="2:20" ht="16.8" thickTop="1" thickBot="1">
      <c r="B6" s="66" t="s">
        <v>93</v>
      </c>
      <c r="C6" s="122" t="s">
        <v>24</v>
      </c>
      <c r="D6" s="123"/>
      <c r="E6" s="122" t="s">
        <v>25</v>
      </c>
      <c r="F6" s="123"/>
      <c r="G6" s="122" t="s">
        <v>26</v>
      </c>
      <c r="H6" s="123"/>
      <c r="I6" s="122" t="s">
        <v>27</v>
      </c>
      <c r="J6" s="123"/>
      <c r="K6" s="122" t="s">
        <v>28</v>
      </c>
      <c r="L6" s="123"/>
      <c r="M6" s="122" t="s">
        <v>29</v>
      </c>
      <c r="N6" s="123"/>
      <c r="O6" s="122" t="s">
        <v>30</v>
      </c>
      <c r="P6" s="123"/>
      <c r="R6" s="6"/>
      <c r="S6" s="23"/>
      <c r="T6" s="23"/>
    </row>
    <row r="7" spans="2:20" ht="16.8" thickTop="1" thickBot="1">
      <c r="B7" s="13" t="s">
        <v>95</v>
      </c>
      <c r="C7" s="67" t="str">
        <f>抽奖道具</f>
        <v>随机骰子</v>
      </c>
      <c r="D7" s="68" t="s">
        <v>6</v>
      </c>
      <c r="E7" s="67" t="str">
        <f>抽奖道具</f>
        <v>随机骰子</v>
      </c>
      <c r="F7" s="68" t="s">
        <v>6</v>
      </c>
      <c r="G7" s="67" t="str">
        <f>抽奖道具</f>
        <v>随机骰子</v>
      </c>
      <c r="H7" s="68" t="s">
        <v>6</v>
      </c>
      <c r="I7" s="67" t="str">
        <f>抽奖道具</f>
        <v>随机骰子</v>
      </c>
      <c r="J7" s="68" t="s">
        <v>6</v>
      </c>
      <c r="K7" s="67" t="str">
        <f>抽奖道具</f>
        <v>随机骰子</v>
      </c>
      <c r="L7" s="68" t="s">
        <v>6</v>
      </c>
      <c r="M7" s="67" t="str">
        <f>抽奖道具</f>
        <v>随机骰子</v>
      </c>
      <c r="N7" s="68" t="s">
        <v>6</v>
      </c>
      <c r="O7" s="67" t="str">
        <f>抽奖道具</f>
        <v>随机骰子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0</v>
      </c>
      <c r="D8" s="4">
        <f t="shared" ref="D8:P16" si="0">C8*积分规则1</f>
        <v>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30</v>
      </c>
      <c r="D9" s="4">
        <f t="shared" si="0"/>
        <v>60</v>
      </c>
      <c r="E9" s="3">
        <f>每日任务抽奖道具数量</f>
        <v>30</v>
      </c>
      <c r="F9" s="4">
        <f t="shared" si="1"/>
        <v>60</v>
      </c>
      <c r="G9" s="3">
        <f>每日任务抽奖道具数量</f>
        <v>30</v>
      </c>
      <c r="H9" s="4">
        <f t="shared" si="2"/>
        <v>60</v>
      </c>
      <c r="I9" s="3">
        <f>每日任务抽奖道具数量</f>
        <v>30</v>
      </c>
      <c r="J9" s="4">
        <f t="shared" si="3"/>
        <v>60</v>
      </c>
      <c r="K9" s="3">
        <f>每日任务抽奖道具数量</f>
        <v>30</v>
      </c>
      <c r="L9" s="4">
        <f t="shared" si="4"/>
        <v>60</v>
      </c>
      <c r="M9" s="3">
        <f>每日任务抽奖道具数量</f>
        <v>30</v>
      </c>
      <c r="N9" s="4">
        <f t="shared" si="5"/>
        <v>60</v>
      </c>
      <c r="O9" s="3">
        <f>每日任务抽奖道具数量</f>
        <v>30</v>
      </c>
      <c r="P9" s="4">
        <f t="shared" si="6"/>
        <v>60</v>
      </c>
    </row>
    <row r="10" spans="2:20" ht="16.8" thickTop="1" thickBot="1">
      <c r="B10" s="14" t="s">
        <v>17</v>
      </c>
      <c r="C10" s="3">
        <v>10</v>
      </c>
      <c r="D10" s="4">
        <f t="shared" si="0"/>
        <v>20</v>
      </c>
      <c r="E10" s="3">
        <v>10</v>
      </c>
      <c r="F10" s="4">
        <f t="shared" si="1"/>
        <v>20</v>
      </c>
      <c r="G10" s="3">
        <v>10</v>
      </c>
      <c r="H10" s="4">
        <f t="shared" si="2"/>
        <v>20</v>
      </c>
      <c r="I10" s="3">
        <v>10</v>
      </c>
      <c r="J10" s="4">
        <f t="shared" si="3"/>
        <v>20</v>
      </c>
      <c r="K10" s="3">
        <v>10</v>
      </c>
      <c r="L10" s="4">
        <f t="shared" si="4"/>
        <v>20</v>
      </c>
      <c r="M10" s="3">
        <v>70</v>
      </c>
      <c r="N10" s="4">
        <f t="shared" si="5"/>
        <v>140</v>
      </c>
      <c r="O10" s="3">
        <v>10</v>
      </c>
      <c r="P10" s="4">
        <f t="shared" si="6"/>
        <v>20</v>
      </c>
      <c r="R10" s="98" t="s">
        <v>176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v>15</v>
      </c>
      <c r="N11" s="4">
        <f t="shared" si="5"/>
        <v>30</v>
      </c>
      <c r="O11" s="3">
        <v>60</v>
      </c>
      <c r="P11" s="4">
        <f t="shared" si="6"/>
        <v>120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2</v>
      </c>
      <c r="D13" s="4">
        <f t="shared" si="0"/>
        <v>4</v>
      </c>
      <c r="E13" s="3">
        <f>每日广告抽奖道具数量</f>
        <v>2</v>
      </c>
      <c r="F13" s="4">
        <f t="shared" si="0"/>
        <v>4</v>
      </c>
      <c r="G13" s="3">
        <f>每日广告抽奖道具数量</f>
        <v>2</v>
      </c>
      <c r="H13" s="4">
        <f t="shared" si="0"/>
        <v>4</v>
      </c>
      <c r="I13" s="3">
        <f>每日广告抽奖道具数量</f>
        <v>2</v>
      </c>
      <c r="J13" s="4">
        <f t="shared" si="0"/>
        <v>4</v>
      </c>
      <c r="K13" s="3">
        <f>每日广告抽奖道具数量</f>
        <v>2</v>
      </c>
      <c r="L13" s="4">
        <f t="shared" si="0"/>
        <v>4</v>
      </c>
      <c r="M13" s="3">
        <f>每日广告抽奖道具数量</f>
        <v>2</v>
      </c>
      <c r="N13" s="4">
        <f t="shared" si="0"/>
        <v>4</v>
      </c>
      <c r="O13" s="3">
        <f>每日广告抽奖道具数量</f>
        <v>2</v>
      </c>
      <c r="P13" s="4">
        <f t="shared" si="0"/>
        <v>4</v>
      </c>
    </row>
    <row r="14" spans="2:20" ht="16.2" thickBot="1">
      <c r="B14" s="34" t="s">
        <v>73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0</v>
      </c>
      <c r="N15" s="4">
        <f t="shared" si="5"/>
        <v>0</v>
      </c>
      <c r="O15" s="3">
        <f>SUM(P31*抽奖道具礼包1,P32*抽奖道具礼包2,P33*抽奖道具礼包3,P34*抽奖道具礼包4,P35*抽奖道具礼包5,P36*抽奖道具礼包6,P37*抽奖道具礼包7)</f>
        <v>0</v>
      </c>
      <c r="P15" s="4">
        <f t="shared" si="6"/>
        <v>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使用随机骰子</v>
      </c>
      <c r="C17" s="3">
        <v>9</v>
      </c>
      <c r="D17" s="4">
        <f>C17*积分规则3</f>
        <v>10.499999999999998</v>
      </c>
      <c r="E17" s="3">
        <v>9</v>
      </c>
      <c r="F17" s="4">
        <f>E17*积分规则3</f>
        <v>10.499999999999998</v>
      </c>
      <c r="G17" s="3">
        <v>9</v>
      </c>
      <c r="H17" s="4">
        <f>G17*积分规则3</f>
        <v>10.499999999999998</v>
      </c>
      <c r="I17" s="3">
        <v>9</v>
      </c>
      <c r="J17" s="4">
        <f>I17*积分规则3</f>
        <v>10.499999999999998</v>
      </c>
      <c r="K17" s="3">
        <v>9</v>
      </c>
      <c r="L17" s="4">
        <f>K17*积分规则3</f>
        <v>10.499999999999998</v>
      </c>
      <c r="M17" s="3">
        <v>249</v>
      </c>
      <c r="N17" s="4">
        <f>M17*积分规则3</f>
        <v>290.49999999999994</v>
      </c>
      <c r="O17" s="3">
        <v>135</v>
      </c>
      <c r="P17" s="4">
        <f>O17*积分规则3</f>
        <v>157.49999999999997</v>
      </c>
      <c r="R17" s="98" t="s">
        <v>175</v>
      </c>
    </row>
    <row r="18" spans="2:19" ht="16.8" thickTop="1" thickBot="1">
      <c r="B18" s="36" t="str">
        <f>"剩余"&amp;抽奖道具</f>
        <v>剩余随机骰子</v>
      </c>
      <c r="C18" s="3">
        <f>C26-C17</f>
        <v>33</v>
      </c>
      <c r="D18" s="87">
        <f>C18*积分规则3</f>
        <v>38.499999999999993</v>
      </c>
      <c r="E18" s="3">
        <f>C18+SUM(E8:E16)-E17</f>
        <v>66</v>
      </c>
      <c r="F18" s="87">
        <f>E18*积分规则3</f>
        <v>76.999999999999986</v>
      </c>
      <c r="G18" s="3">
        <f>E18+SUM(G8:G16)-G17</f>
        <v>99</v>
      </c>
      <c r="H18" s="87">
        <f>G18*积分规则3</f>
        <v>115.49999999999999</v>
      </c>
      <c r="I18" s="3">
        <f>G18+SUM(I8:I16)-I17</f>
        <v>132</v>
      </c>
      <c r="J18" s="87">
        <f>I18*积分规则3</f>
        <v>153.99999999999997</v>
      </c>
      <c r="K18" s="3">
        <f>I18+SUM(K8:K16)-K17</f>
        <v>165</v>
      </c>
      <c r="L18" s="87">
        <f>K18*积分规则3</f>
        <v>192.49999999999997</v>
      </c>
      <c r="M18" s="3">
        <f>K18+SUM(M8:M16)-M17</f>
        <v>33</v>
      </c>
      <c r="N18" s="87">
        <f>M18*积分规则3</f>
        <v>38.499999999999993</v>
      </c>
      <c r="O18" s="3">
        <f>M18+SUM(O8:O16)-O17</f>
        <v>0</v>
      </c>
      <c r="P18" s="87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12</v>
      </c>
      <c r="P19" s="4">
        <f>O19*随机箱积分</f>
        <v>0</v>
      </c>
      <c r="R19" s="98" t="s">
        <v>177</v>
      </c>
      <c r="S19" s="26"/>
    </row>
    <row r="20" spans="2:19" ht="16.8" thickTop="1" thickBot="1">
      <c r="B20" s="36" t="s">
        <v>33</v>
      </c>
      <c r="C20" s="3">
        <f>C27-SUM(C19)+D44*氪金基金随机箱</f>
        <v>1</v>
      </c>
      <c r="D20" s="4">
        <f>C20*随机箱积分</f>
        <v>0</v>
      </c>
      <c r="E20" s="3">
        <f>E27-SUM(C19,E19)+F44*氪金基金随机箱</f>
        <v>2</v>
      </c>
      <c r="F20" s="4">
        <f>E20*随机箱积分</f>
        <v>0</v>
      </c>
      <c r="G20" s="3">
        <f>G27-SUM(C19,E19,G19)+H44*氪金基金随机箱</f>
        <v>3</v>
      </c>
      <c r="H20" s="4">
        <f>G20*随机箱积分</f>
        <v>0</v>
      </c>
      <c r="I20" s="3">
        <f>I27-SUM(C19,E19,G19,I19)+J44*氪金基金随机箱</f>
        <v>4</v>
      </c>
      <c r="J20" s="4">
        <f>I20*随机箱积分</f>
        <v>0</v>
      </c>
      <c r="K20" s="3">
        <f>K27-SUM(C19,E19,G19,I19,K19)+L44*氪金基金随机箱</f>
        <v>5</v>
      </c>
      <c r="L20" s="4">
        <f>K20*随机箱积分</f>
        <v>0</v>
      </c>
      <c r="M20" s="3">
        <f>M27-SUM(C19,E19,G19,I19,K19,M19)+N44*氪金基金随机箱</f>
        <v>10</v>
      </c>
      <c r="N20" s="4">
        <f>M20*随机箱积分</f>
        <v>0</v>
      </c>
      <c r="O20" s="3">
        <f>O27-SUM(C19,E19,G19,I19,K19,M19,O19)+P44*氪金基金随机箱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兑换月华糕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8" t="s">
        <v>179</v>
      </c>
    </row>
    <row r="22" spans="2:19" ht="16.2" thickTop="1">
      <c r="B22" s="70" t="str">
        <f xml:space="preserve"> "氪金"&amp;高级兑换道具</f>
        <v>氪金月华糕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98</v>
      </c>
      <c r="C24" s="42" t="str">
        <f>IFERROR(LOOKUP(D24,档位积分1:档位积分5,第1档:第5档),"无奖励")</f>
        <v>第1档</v>
      </c>
      <c r="D24" s="43">
        <f>SUM(D8:D17)+D19+SUM(D21:D23)</f>
        <v>94.5</v>
      </c>
      <c r="E24" s="44" t="str">
        <f>IFERROR(LOOKUP(F24,档位积分1:档位积分5,第1档:第5档),"无奖励")</f>
        <v>第1档</v>
      </c>
      <c r="F24" s="43">
        <f>SUM(F8:F17)+F19+SUM(F21:F23)</f>
        <v>94.5</v>
      </c>
      <c r="G24" s="44" t="str">
        <f>IFERROR(LOOKUP(H24,档位积分1:档位积分5,第1档:第5档),"无奖励")</f>
        <v>第1档</v>
      </c>
      <c r="H24" s="43">
        <f>SUM(H8:H17)+H19+SUM(H21:H23)</f>
        <v>94.5</v>
      </c>
      <c r="I24" s="44" t="str">
        <f>IFERROR(LOOKUP(J24,档位积分1:档位积分5,第1档:第5档),"无奖励")</f>
        <v>第1档</v>
      </c>
      <c r="J24" s="43">
        <f>SUM(J8:J17)+J19+SUM(J21:J23)</f>
        <v>94.5</v>
      </c>
      <c r="K24" s="44" t="str">
        <f>IFERROR(LOOKUP(L24,档位积分1:档位积分5,第1档:第5档),"无奖励")</f>
        <v>第1档</v>
      </c>
      <c r="L24" s="43">
        <f>SUM(L8:L17)+L19+SUM(L21:L23)</f>
        <v>94.5</v>
      </c>
      <c r="M24" s="44" t="str">
        <f>IFERROR(LOOKUP(N24,档位积分1:档位积分5,第1档:第5档),"无奖励")</f>
        <v>第3档</v>
      </c>
      <c r="N24" s="43">
        <f>SUM(N8:N17)+N19+SUM(N21:N23)</f>
        <v>524.5</v>
      </c>
      <c r="O24" s="44" t="str">
        <f>IFERROR(LOOKUP(P24,档位积分1:档位积分5,第1档:第5档),"无奖励")</f>
        <v>第2档</v>
      </c>
      <c r="P24" s="43">
        <f>SUM(P8:P17)+P19+SUM(P21:P23)</f>
        <v>361.5</v>
      </c>
    </row>
    <row r="25" spans="2:19" ht="16.8" thickTop="1" thickBot="1">
      <c r="B25" s="13" t="s">
        <v>99</v>
      </c>
      <c r="C25" s="103">
        <f>IF(C24="无奖励", "",
   D24-INDEX(档位积分1:档位积分5, MATCH(D24, 档位积分1:档位积分5, 1)))</f>
        <v>4.5</v>
      </c>
      <c r="D25" s="86">
        <f>IF(D24&gt;=MAX(档位积分1:档位积分5), "",
   IF(D24&lt;MIN(档位积分1:档位积分5), MIN(档位积分1:档位积分5),
      INDEX(档位积分1:档位积分5, MATCH(D24, 档位积分1:档位积分5, 1)+1)))-D24</f>
        <v>205.5</v>
      </c>
      <c r="E25" s="103">
        <f>IF(E24="无奖励", "",
   F24-INDEX(档位积分1:档位积分5, MATCH(F24, 档位积分1:档位积分5, 1)))</f>
        <v>4.5</v>
      </c>
      <c r="F25" s="86">
        <f>IF(F24&gt;=MAX(档位积分1:档位积分5), "",
   IF(F24&lt;MIN(档位积分1:档位积分5), MIN(档位积分1:档位积分5),
      INDEX(档位积分1:档位积分5, MATCH(F24, 档位积分1:档位积分5, 1)+1)))-F24</f>
        <v>205.5</v>
      </c>
      <c r="G25" s="103">
        <f>IF(G24="无奖励", "",
   H24-INDEX(档位积分1:档位积分5, MATCH(H24, 档位积分1:档位积分5, 1)))</f>
        <v>4.5</v>
      </c>
      <c r="H25" s="86">
        <f>IF(H24&gt;=MAX(档位积分1:档位积分5), "",
   IF(H24&lt;MIN(档位积分1:档位积分5), MIN(档位积分1:档位积分5),
      INDEX(档位积分1:档位积分5, MATCH(H24, 档位积分1:档位积分5, 1)+1)))-H24</f>
        <v>205.5</v>
      </c>
      <c r="I25" s="103">
        <f>IF(I24="无奖励", "",
   J24-INDEX(档位积分1:档位积分5, MATCH(J24, 档位积分1:档位积分5, 1)))</f>
        <v>4.5</v>
      </c>
      <c r="J25" s="86">
        <f>IF(J24&gt;=MAX(档位积分1:档位积分5), "",
   IF(J24&lt;MIN(档位积分1:档位积分5), MIN(档位积分1:档位积分5),
      INDEX(档位积分1:档位积分5, MATCH(J24, 档位积分1:档位积分5, 1)+1)))-J24</f>
        <v>205.5</v>
      </c>
      <c r="K25" s="103">
        <f>IF(K24="无奖励", "",
   L24-INDEX(档位积分1:档位积分5, MATCH(L24, 档位积分1:档位积分5, 1)))</f>
        <v>4.5</v>
      </c>
      <c r="L25" s="86">
        <f>IF(L24&gt;=MAX(档位积分1:档位积分5), "",
   IF(L24&lt;MIN(档位积分1:档位积分5), MIN(档位积分1:档位积分5),
      INDEX(档位积分1:档位积分5, MATCH(L24, 档位积分1:档位积分5, 1)+1)))-L24</f>
        <v>205.5</v>
      </c>
      <c r="M25" s="103">
        <f>IF(M24="无奖励", "",
   N24-INDEX(档位积分1:档位积分5, MATCH(N24, 档位积分1:档位积分5, 1)))</f>
        <v>2.5</v>
      </c>
      <c r="N25" s="86">
        <f>IF(N24&gt;=MAX(档位积分1:档位积分5), "",
   IF(N24&lt;MIN(档位积分1:档位积分5), MIN(档位积分1:档位积分5),
      INDEX(档位积分1:档位积分5, MATCH(N24, 档位积分1:档位积分5, 1)+1)))-N24</f>
        <v>717.5</v>
      </c>
      <c r="O25" s="103">
        <f>IF(O24="无奖励", "",
   P24-INDEX(档位积分1:档位积分5, MATCH(P24, 档位积分1:档位积分5, 1)))</f>
        <v>61.5</v>
      </c>
      <c r="P25" s="86">
        <f>IF(P24&gt;=MAX(档位积分1:档位积分5), "",
   IF(P24&lt;MIN(档位积分1:档位积分5), MIN(档位积分1:档位积分5),
      INDEX(档位积分1:档位积分5, MATCH(P24, 档位积分1:档位积分5, 1)+1)))-P24</f>
        <v>160.5</v>
      </c>
    </row>
    <row r="26" spans="2:19" ht="16.2" thickTop="1">
      <c r="B26" s="41" t="str">
        <f>"总"&amp;抽奖道具</f>
        <v>总随机骰子</v>
      </c>
      <c r="C26" s="31">
        <f>SUM(C8:C16)</f>
        <v>42</v>
      </c>
      <c r="D26" s="49">
        <f>C26*积分规则3</f>
        <v>48.999999999999993</v>
      </c>
      <c r="E26" s="31">
        <f>C26+SUM(E8:E16)</f>
        <v>84</v>
      </c>
      <c r="F26" s="49">
        <f>E26*积分规则3</f>
        <v>97.999999999999986</v>
      </c>
      <c r="G26" s="31">
        <f>E26+SUM(G8:G16)</f>
        <v>126</v>
      </c>
      <c r="H26" s="49">
        <f>G26*积分规则3</f>
        <v>146.99999999999997</v>
      </c>
      <c r="I26" s="31">
        <f>G26+SUM(I8:I16)</f>
        <v>168</v>
      </c>
      <c r="J26" s="49">
        <f>I26*积分规则3</f>
        <v>195.99999999999997</v>
      </c>
      <c r="K26" s="31">
        <f>I26+SUM(K8:K16)</f>
        <v>210</v>
      </c>
      <c r="L26" s="49">
        <f>K26*积分规则3</f>
        <v>244.99999999999997</v>
      </c>
      <c r="M26" s="31">
        <f>K26+SUM(M8:M16)</f>
        <v>327</v>
      </c>
      <c r="N26" s="49">
        <f>M26*积分规则3</f>
        <v>381.49999999999994</v>
      </c>
      <c r="O26" s="31">
        <f>M26+SUM(O8:O16)</f>
        <v>429</v>
      </c>
      <c r="P26" s="49">
        <f>O26*积分规则3</f>
        <v>500.49999999999994</v>
      </c>
    </row>
    <row r="27" spans="2:19" ht="16.2" thickBot="1">
      <c r="B27" s="30" t="s">
        <v>41</v>
      </c>
      <c r="C27" s="5">
        <f>IFERROR(LOOKUP(D24,档位积分1:档位积分5,档位奖励1:档位奖励5),0)</f>
        <v>1</v>
      </c>
      <c r="D27" s="12">
        <f>C27*随机箱积分</f>
        <v>0</v>
      </c>
      <c r="E27" s="5">
        <f>IFERROR(LOOKUP(F24,档位积分1:档位积分5,档位奖励1:档位奖励5),0)+C27</f>
        <v>2</v>
      </c>
      <c r="F27" s="12">
        <f>E27*随机箱积分</f>
        <v>0</v>
      </c>
      <c r="G27" s="5">
        <f>IFERROR(LOOKUP(H24,档位积分1:档位积分5,档位奖励1:档位奖励5),0)+E27</f>
        <v>3</v>
      </c>
      <c r="H27" s="12">
        <f>G27*随机箱积分</f>
        <v>0</v>
      </c>
      <c r="I27" s="5">
        <f>IFERROR(LOOKUP(J24,档位积分1:档位积分5,档位奖励1:档位奖励5),0)+G27</f>
        <v>4</v>
      </c>
      <c r="J27" s="12">
        <f>I27*随机箱积分</f>
        <v>0</v>
      </c>
      <c r="K27" s="5">
        <f>IFERROR(LOOKUP(L24,档位积分1:档位积分5,档位奖励1:档位奖励5),0)+I27</f>
        <v>5</v>
      </c>
      <c r="L27" s="12">
        <f>K27*随机箱积分</f>
        <v>0</v>
      </c>
      <c r="M27" s="5">
        <f>IFERROR(LOOKUP(N24,档位积分1:档位积分5,档位奖励1:档位奖励5),0)+K27</f>
        <v>10</v>
      </c>
      <c r="N27" s="12">
        <f>M27*随机箱积分</f>
        <v>0</v>
      </c>
      <c r="O27" s="5">
        <f>IFERROR(LOOKUP(P24,档位积分1:档位积分5,档位奖励1:档位奖励5),0)+M27</f>
        <v>12</v>
      </c>
      <c r="P27" s="12">
        <f>O27*随机箱积分</f>
        <v>0</v>
      </c>
    </row>
    <row r="28" spans="2:19" ht="16.2" thickTop="1">
      <c r="B28" s="33" t="str">
        <f>普通兑换道具</f>
        <v>桂香糕</v>
      </c>
      <c r="C28" s="45">
        <f>C17*普通兑换道具抽奖期望</f>
        <v>12.6</v>
      </c>
      <c r="D28" s="32"/>
      <c r="E28" s="45">
        <f>E17*普通兑换道具抽奖期望+C28</f>
        <v>25.2</v>
      </c>
      <c r="F28" s="46"/>
      <c r="G28" s="45">
        <f>G17*普通兑换道具抽奖期望+E28</f>
        <v>37.799999999999997</v>
      </c>
      <c r="H28" s="46"/>
      <c r="I28" s="45">
        <f>I17*普通兑换道具抽奖期望+G28</f>
        <v>50.4</v>
      </c>
      <c r="J28" s="46"/>
      <c r="K28" s="45">
        <f>K17*普通兑换道具抽奖期望+I28</f>
        <v>63</v>
      </c>
      <c r="L28" s="46"/>
      <c r="M28" s="45">
        <f>M17*普通兑换道具抽奖期望+K28</f>
        <v>411.59999999999997</v>
      </c>
      <c r="N28" s="46"/>
      <c r="O28" s="45">
        <f>O17*普通兑换道具抽奖期望+M28</f>
        <v>600.59999999999991</v>
      </c>
      <c r="P28" s="32"/>
    </row>
    <row r="29" spans="2:19" ht="16.2" thickBot="1">
      <c r="B29" s="34" t="str">
        <f>高级兑换道具</f>
        <v>月华糕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12.611999999999998</v>
      </c>
      <c r="P29" s="12"/>
    </row>
    <row r="30" spans="2:19" ht="16.8" thickTop="1" thickBot="1">
      <c r="B30" s="41" t="s">
        <v>97</v>
      </c>
      <c r="C30" s="55" t="str">
        <f>C7</f>
        <v>随机骰子</v>
      </c>
      <c r="D30" s="56" t="s">
        <v>96</v>
      </c>
      <c r="E30" s="55" t="str">
        <f>E7</f>
        <v>随机骰子</v>
      </c>
      <c r="F30" s="56" t="s">
        <v>96</v>
      </c>
      <c r="G30" s="55" t="str">
        <f>G7</f>
        <v>随机骰子</v>
      </c>
      <c r="H30" s="56" t="s">
        <v>96</v>
      </c>
      <c r="I30" s="55" t="str">
        <f>I7</f>
        <v>随机骰子</v>
      </c>
      <c r="J30" s="56" t="s">
        <v>96</v>
      </c>
      <c r="K30" s="55" t="str">
        <f>K7</f>
        <v>随机骰子</v>
      </c>
      <c r="L30" s="56" t="s">
        <v>96</v>
      </c>
      <c r="M30" s="55" t="str">
        <f>M7</f>
        <v>随机骰子</v>
      </c>
      <c r="N30" s="56" t="s">
        <v>96</v>
      </c>
      <c r="O30" s="55" t="str">
        <f>O7</f>
        <v>随机骰子</v>
      </c>
      <c r="P30" s="56" t="s">
        <v>96</v>
      </c>
    </row>
    <row r="31" spans="2:19" ht="16.2" customHeight="1" thickTop="1">
      <c r="B31" s="59" t="str">
        <f>抽奖道具 &amp; "礼包Ⅰ"</f>
        <v>随机骰子礼包Ⅰ</v>
      </c>
      <c r="C31" s="39">
        <f>抽奖道具礼包1</f>
        <v>30</v>
      </c>
      <c r="D31" s="24">
        <v>0</v>
      </c>
      <c r="E31" s="39">
        <f>抽奖道具礼包1</f>
        <v>30</v>
      </c>
      <c r="F31" s="24">
        <v>0</v>
      </c>
      <c r="G31" s="39">
        <f>抽奖道具礼包1</f>
        <v>30</v>
      </c>
      <c r="H31" s="24">
        <v>0</v>
      </c>
      <c r="I31" s="39">
        <f>抽奖道具礼包1</f>
        <v>30</v>
      </c>
      <c r="J31" s="24">
        <v>0</v>
      </c>
      <c r="K31" s="39">
        <f>抽奖道具礼包1</f>
        <v>30</v>
      </c>
      <c r="L31" s="24">
        <v>0</v>
      </c>
      <c r="M31" s="39">
        <f>抽奖道具礼包1</f>
        <v>30</v>
      </c>
      <c r="N31" s="24">
        <v>0</v>
      </c>
      <c r="O31" s="39">
        <f>抽奖道具礼包1</f>
        <v>30</v>
      </c>
      <c r="P31" s="24">
        <v>0</v>
      </c>
      <c r="R31" s="126" t="s">
        <v>183</v>
      </c>
    </row>
    <row r="32" spans="2:19">
      <c r="B32" s="99" t="str">
        <f>抽奖道具 &amp; "礼包Ⅱ"</f>
        <v>随机骰子礼包Ⅱ</v>
      </c>
      <c r="C32" s="39">
        <f>抽奖道具礼包2</f>
        <v>45</v>
      </c>
      <c r="D32" s="24">
        <v>0</v>
      </c>
      <c r="E32" s="39">
        <f>抽奖道具礼包2</f>
        <v>45</v>
      </c>
      <c r="F32" s="24">
        <v>0</v>
      </c>
      <c r="G32" s="39">
        <f>抽奖道具礼包2</f>
        <v>45</v>
      </c>
      <c r="H32" s="24">
        <v>0</v>
      </c>
      <c r="I32" s="39">
        <f>抽奖道具礼包2</f>
        <v>45</v>
      </c>
      <c r="J32" s="24">
        <v>0</v>
      </c>
      <c r="K32" s="39">
        <f>抽奖道具礼包2</f>
        <v>45</v>
      </c>
      <c r="L32" s="24">
        <v>0</v>
      </c>
      <c r="M32" s="39">
        <f>抽奖道具礼包2</f>
        <v>45</v>
      </c>
      <c r="N32" s="24">
        <v>0</v>
      </c>
      <c r="O32" s="39">
        <f>抽奖道具礼包2</f>
        <v>45</v>
      </c>
      <c r="P32" s="24">
        <v>0</v>
      </c>
      <c r="R32" s="127"/>
    </row>
    <row r="33" spans="2:18">
      <c r="B33" s="99" t="str">
        <f>抽奖道具 &amp; "礼包Ⅲ"</f>
        <v>随机骰子礼包Ⅲ</v>
      </c>
      <c r="C33" s="39">
        <f>抽奖道具礼包3</f>
        <v>90</v>
      </c>
      <c r="D33" s="24">
        <v>0</v>
      </c>
      <c r="E33" s="39">
        <f>抽奖道具礼包3</f>
        <v>90</v>
      </c>
      <c r="F33" s="24">
        <v>0</v>
      </c>
      <c r="G33" s="39">
        <f>抽奖道具礼包3</f>
        <v>90</v>
      </c>
      <c r="H33" s="24">
        <v>0</v>
      </c>
      <c r="I33" s="39">
        <f>抽奖道具礼包3</f>
        <v>90</v>
      </c>
      <c r="J33" s="24">
        <v>0</v>
      </c>
      <c r="K33" s="39">
        <f>抽奖道具礼包3</f>
        <v>90</v>
      </c>
      <c r="L33" s="24">
        <v>0</v>
      </c>
      <c r="M33" s="39">
        <f>抽奖道具礼包3</f>
        <v>90</v>
      </c>
      <c r="N33" s="24">
        <v>0</v>
      </c>
      <c r="O33" s="39">
        <f>抽奖道具礼包3</f>
        <v>90</v>
      </c>
      <c r="P33" s="24">
        <v>0</v>
      </c>
      <c r="R33" s="127"/>
    </row>
    <row r="34" spans="2:18">
      <c r="B34" s="99" t="str">
        <f>抽奖道具 &amp; "礼包Ⅳ"</f>
        <v>随机骰子礼包Ⅳ</v>
      </c>
      <c r="C34" s="39">
        <f>抽奖道具礼包4</f>
        <v>150</v>
      </c>
      <c r="D34" s="24">
        <v>0</v>
      </c>
      <c r="E34" s="39">
        <f>抽奖道具礼包4</f>
        <v>150</v>
      </c>
      <c r="F34" s="24">
        <v>0</v>
      </c>
      <c r="G34" s="39">
        <f>抽奖道具礼包4</f>
        <v>150</v>
      </c>
      <c r="H34" s="24">
        <v>0</v>
      </c>
      <c r="I34" s="39">
        <f>抽奖道具礼包4</f>
        <v>150</v>
      </c>
      <c r="J34" s="24">
        <v>0</v>
      </c>
      <c r="K34" s="39">
        <f>抽奖道具礼包4</f>
        <v>150</v>
      </c>
      <c r="L34" s="24">
        <v>0</v>
      </c>
      <c r="M34" s="39">
        <f>抽奖道具礼包4</f>
        <v>150</v>
      </c>
      <c r="N34" s="24">
        <v>0</v>
      </c>
      <c r="O34" s="39">
        <f>抽奖道具礼包4</f>
        <v>150</v>
      </c>
      <c r="P34" s="24">
        <v>0</v>
      </c>
      <c r="R34" s="127"/>
    </row>
    <row r="35" spans="2:18">
      <c r="B35" s="99" t="str">
        <f>抽奖道具 &amp; "礼包Ⅴ"</f>
        <v>随机骰子礼包Ⅴ</v>
      </c>
      <c r="C35" s="39">
        <f>抽奖道具礼包5</f>
        <v>270</v>
      </c>
      <c r="D35" s="24">
        <v>0</v>
      </c>
      <c r="E35" s="39">
        <f>抽奖道具礼包5</f>
        <v>270</v>
      </c>
      <c r="F35" s="24">
        <v>0</v>
      </c>
      <c r="G35" s="39">
        <f>抽奖道具礼包5</f>
        <v>270</v>
      </c>
      <c r="H35" s="24">
        <v>0</v>
      </c>
      <c r="I35" s="39">
        <f>抽奖道具礼包5</f>
        <v>270</v>
      </c>
      <c r="J35" s="24">
        <v>0</v>
      </c>
      <c r="K35" s="39">
        <f>抽奖道具礼包5</f>
        <v>270</v>
      </c>
      <c r="L35" s="24">
        <v>0</v>
      </c>
      <c r="M35" s="39">
        <f>抽奖道具礼包5</f>
        <v>270</v>
      </c>
      <c r="N35" s="24">
        <v>0</v>
      </c>
      <c r="O35" s="39">
        <f>抽奖道具礼包5</f>
        <v>270</v>
      </c>
      <c r="P35" s="24">
        <v>0</v>
      </c>
      <c r="R35" s="127"/>
    </row>
    <row r="36" spans="2:18">
      <c r="B36" s="99" t="str">
        <f>抽奖道具 &amp; "礼包Ⅵ"</f>
        <v>随机骰子礼包Ⅵ</v>
      </c>
      <c r="C36" s="39">
        <f>抽奖道具礼包6</f>
        <v>0</v>
      </c>
      <c r="D36" s="24">
        <v>0</v>
      </c>
      <c r="E36" s="39">
        <f>抽奖道具礼包6</f>
        <v>0</v>
      </c>
      <c r="F36" s="24">
        <v>0</v>
      </c>
      <c r="G36" s="39">
        <f>抽奖道具礼包6</f>
        <v>0</v>
      </c>
      <c r="H36" s="24">
        <v>0</v>
      </c>
      <c r="I36" s="39">
        <f>抽奖道具礼包6</f>
        <v>0</v>
      </c>
      <c r="J36" s="24">
        <v>0</v>
      </c>
      <c r="K36" s="39">
        <f>抽奖道具礼包6</f>
        <v>0</v>
      </c>
      <c r="L36" s="24">
        <v>0</v>
      </c>
      <c r="M36" s="39">
        <f>抽奖道具礼包6</f>
        <v>0</v>
      </c>
      <c r="N36" s="24">
        <v>0</v>
      </c>
      <c r="O36" s="39">
        <f>抽奖道具礼包6</f>
        <v>0</v>
      </c>
      <c r="P36" s="24">
        <v>0</v>
      </c>
      <c r="R36" s="127"/>
    </row>
    <row r="37" spans="2:18" ht="16.2" thickBot="1">
      <c r="B37" s="100" t="str">
        <f>抽奖道具 &amp; "礼包Ⅶ"</f>
        <v>随机骰子礼包Ⅶ</v>
      </c>
      <c r="C37" s="57">
        <f>抽奖道具礼包7</f>
        <v>0</v>
      </c>
      <c r="D37" s="12">
        <v>0</v>
      </c>
      <c r="E37" s="57">
        <f>抽奖道具礼包7</f>
        <v>0</v>
      </c>
      <c r="F37" s="12">
        <v>0</v>
      </c>
      <c r="G37" s="57">
        <f>抽奖道具礼包7</f>
        <v>0</v>
      </c>
      <c r="H37" s="12">
        <v>0</v>
      </c>
      <c r="I37" s="57">
        <f>抽奖道具礼包7</f>
        <v>0</v>
      </c>
      <c r="J37" s="12">
        <v>0</v>
      </c>
      <c r="K37" s="57">
        <f>抽奖道具礼包7</f>
        <v>0</v>
      </c>
      <c r="L37" s="12">
        <v>0</v>
      </c>
      <c r="M37" s="57">
        <f>抽奖道具礼包7</f>
        <v>0</v>
      </c>
      <c r="N37" s="12">
        <v>0</v>
      </c>
      <c r="O37" s="57">
        <f>抽奖道具礼包7</f>
        <v>0</v>
      </c>
      <c r="P37" s="12">
        <v>0</v>
      </c>
      <c r="R37" s="127"/>
    </row>
    <row r="38" spans="2:18" ht="16.8" thickTop="1" thickBot="1">
      <c r="B38" s="39" t="s">
        <v>97</v>
      </c>
      <c r="C38" s="55" t="str">
        <f>高级兑换道具</f>
        <v>月华糕</v>
      </c>
      <c r="D38" s="56" t="s">
        <v>96</v>
      </c>
      <c r="E38" s="55" t="str">
        <f>高级兑换道具</f>
        <v>月华糕</v>
      </c>
      <c r="F38" s="56" t="s">
        <v>96</v>
      </c>
      <c r="G38" s="55" t="str">
        <f>高级兑换道具</f>
        <v>月华糕</v>
      </c>
      <c r="H38" s="56" t="s">
        <v>96</v>
      </c>
      <c r="I38" s="55" t="str">
        <f>高级兑换道具</f>
        <v>月华糕</v>
      </c>
      <c r="J38" s="56" t="s">
        <v>96</v>
      </c>
      <c r="K38" s="55" t="str">
        <f>高级兑换道具</f>
        <v>月华糕</v>
      </c>
      <c r="L38" s="56" t="s">
        <v>96</v>
      </c>
      <c r="M38" s="55" t="str">
        <f>高级兑换道具</f>
        <v>月华糕</v>
      </c>
      <c r="N38" s="56" t="s">
        <v>96</v>
      </c>
      <c r="O38" s="55" t="str">
        <f>高级兑换道具</f>
        <v>月华糕</v>
      </c>
      <c r="P38" s="56" t="s">
        <v>96</v>
      </c>
      <c r="R38" s="127"/>
    </row>
    <row r="39" spans="2:18" ht="16.2" customHeight="1" thickTop="1">
      <c r="B39" s="91" t="str">
        <f>高级兑换道具 &amp; "礼包Ⅰ"</f>
        <v>月华糕礼包Ⅰ</v>
      </c>
      <c r="C39" s="18">
        <f>高级兑换道具礼包1</f>
        <v>2</v>
      </c>
      <c r="D39" s="32">
        <v>0</v>
      </c>
      <c r="E39" s="18">
        <f>高级兑换道具礼包1</f>
        <v>2</v>
      </c>
      <c r="F39" s="32">
        <v>0</v>
      </c>
      <c r="G39" s="18">
        <f>高级兑换道具礼包1</f>
        <v>2</v>
      </c>
      <c r="H39" s="32">
        <v>0</v>
      </c>
      <c r="I39" s="18">
        <f>高级兑换道具礼包1</f>
        <v>2</v>
      </c>
      <c r="J39" s="32">
        <v>0</v>
      </c>
      <c r="K39" s="18">
        <f>高级兑换道具礼包1</f>
        <v>2</v>
      </c>
      <c r="L39" s="32">
        <v>0</v>
      </c>
      <c r="M39" s="18">
        <f>高级兑换道具礼包1</f>
        <v>2</v>
      </c>
      <c r="N39" s="32">
        <v>0</v>
      </c>
      <c r="O39" s="18">
        <f>高级兑换道具礼包1</f>
        <v>2</v>
      </c>
      <c r="P39" s="32">
        <v>0</v>
      </c>
      <c r="R39" s="127"/>
    </row>
    <row r="40" spans="2:18">
      <c r="B40" s="92" t="str">
        <f>高级兑换道具 &amp; "礼包Ⅱ"</f>
        <v>月华糕礼包Ⅱ</v>
      </c>
      <c r="C40" s="39">
        <f>高级兑换道具礼包2</f>
        <v>4</v>
      </c>
      <c r="D40" s="4">
        <v>0</v>
      </c>
      <c r="E40" s="39">
        <f>高级兑换道具礼包2</f>
        <v>4</v>
      </c>
      <c r="F40" s="4">
        <v>0</v>
      </c>
      <c r="G40" s="39">
        <f>高级兑换道具礼包2</f>
        <v>4</v>
      </c>
      <c r="H40" s="4">
        <v>0</v>
      </c>
      <c r="I40" s="39">
        <f>高级兑换道具礼包2</f>
        <v>4</v>
      </c>
      <c r="J40" s="4">
        <v>0</v>
      </c>
      <c r="K40" s="39">
        <f>高级兑换道具礼包2</f>
        <v>4</v>
      </c>
      <c r="L40" s="4">
        <v>0</v>
      </c>
      <c r="M40" s="39">
        <f>高级兑换道具礼包2</f>
        <v>4</v>
      </c>
      <c r="N40" s="4">
        <v>0</v>
      </c>
      <c r="O40" s="39">
        <f>高级兑换道具礼包2</f>
        <v>4</v>
      </c>
      <c r="P40" s="4">
        <v>0</v>
      </c>
      <c r="R40" s="127"/>
    </row>
    <row r="41" spans="2:18">
      <c r="B41" s="92" t="str">
        <f>高级兑换道具 &amp; "礼包Ⅲ"</f>
        <v>月华糕礼包Ⅲ</v>
      </c>
      <c r="C41" s="39">
        <f>高级兑换道具礼包3</f>
        <v>10</v>
      </c>
      <c r="D41" s="4">
        <v>0</v>
      </c>
      <c r="E41" s="39">
        <f>高级兑换道具礼包3</f>
        <v>10</v>
      </c>
      <c r="F41" s="4">
        <v>0</v>
      </c>
      <c r="G41" s="39">
        <f>高级兑换道具礼包3</f>
        <v>10</v>
      </c>
      <c r="H41" s="4">
        <v>0</v>
      </c>
      <c r="I41" s="39">
        <f>高级兑换道具礼包3</f>
        <v>10</v>
      </c>
      <c r="J41" s="4">
        <v>0</v>
      </c>
      <c r="K41" s="39">
        <f>高级兑换道具礼包3</f>
        <v>10</v>
      </c>
      <c r="L41" s="4">
        <v>0</v>
      </c>
      <c r="M41" s="39">
        <f>高级兑换道具礼包3</f>
        <v>10</v>
      </c>
      <c r="N41" s="4">
        <v>0</v>
      </c>
      <c r="O41" s="39">
        <f>高级兑换道具礼包3</f>
        <v>10</v>
      </c>
      <c r="P41" s="4">
        <v>0</v>
      </c>
      <c r="R41" s="127"/>
    </row>
    <row r="42" spans="2:18" ht="16.2" thickBot="1">
      <c r="B42" s="93" t="str">
        <f>高级兑换道具 &amp; "礼包Ⅳ"</f>
        <v>月华糕礼包Ⅳ</v>
      </c>
      <c r="C42" s="57">
        <f>高级兑换道具礼包4</f>
        <v>20</v>
      </c>
      <c r="D42" s="12">
        <v>0</v>
      </c>
      <c r="E42" s="57">
        <f>高级兑换道具礼包4</f>
        <v>20</v>
      </c>
      <c r="F42" s="12">
        <v>0</v>
      </c>
      <c r="G42" s="57">
        <f>高级兑换道具礼包4</f>
        <v>20</v>
      </c>
      <c r="H42" s="12">
        <v>0</v>
      </c>
      <c r="I42" s="57">
        <f>高级兑换道具礼包4</f>
        <v>20</v>
      </c>
      <c r="J42" s="12">
        <v>0</v>
      </c>
      <c r="K42" s="57">
        <f>高级兑换道具礼包4</f>
        <v>20</v>
      </c>
      <c r="L42" s="12">
        <v>0</v>
      </c>
      <c r="M42" s="57">
        <f>高级兑换道具礼包4</f>
        <v>20</v>
      </c>
      <c r="N42" s="12">
        <v>0</v>
      </c>
      <c r="O42" s="57">
        <f>高级兑换道具礼包4</f>
        <v>20</v>
      </c>
      <c r="P42" s="12">
        <v>0</v>
      </c>
      <c r="R42" s="127"/>
    </row>
    <row r="43" spans="2:18" ht="16.8" thickTop="1" thickBot="1">
      <c r="B43" s="129" t="s">
        <v>149</v>
      </c>
      <c r="C43" s="57" t="s">
        <v>152</v>
      </c>
      <c r="D43" s="12">
        <v>0</v>
      </c>
      <c r="E43" s="57" t="s">
        <v>152</v>
      </c>
      <c r="F43" s="12">
        <v>0</v>
      </c>
      <c r="G43" s="57" t="s">
        <v>152</v>
      </c>
      <c r="H43" s="12">
        <v>0</v>
      </c>
      <c r="I43" s="57" t="s">
        <v>152</v>
      </c>
      <c r="J43" s="12">
        <v>0</v>
      </c>
      <c r="K43" s="57" t="s">
        <v>152</v>
      </c>
      <c r="L43" s="12">
        <v>0</v>
      </c>
      <c r="M43" s="57" t="s">
        <v>152</v>
      </c>
      <c r="N43" s="12">
        <v>0</v>
      </c>
      <c r="O43" s="57" t="s">
        <v>152</v>
      </c>
      <c r="P43" s="12">
        <v>1</v>
      </c>
      <c r="R43" s="127"/>
    </row>
    <row r="44" spans="2:18" ht="16.8" thickTop="1" thickBot="1">
      <c r="B44" s="130"/>
      <c r="C44" s="67" t="s">
        <v>151</v>
      </c>
      <c r="D44" s="68">
        <v>0</v>
      </c>
      <c r="E44" s="67" t="s">
        <v>151</v>
      </c>
      <c r="F44" s="68">
        <v>0</v>
      </c>
      <c r="G44" s="67" t="s">
        <v>151</v>
      </c>
      <c r="H44" s="68">
        <v>0</v>
      </c>
      <c r="I44" s="67" t="s">
        <v>151</v>
      </c>
      <c r="J44" s="68">
        <v>0</v>
      </c>
      <c r="K44" s="67" t="s">
        <v>151</v>
      </c>
      <c r="L44" s="68">
        <v>0</v>
      </c>
      <c r="M44" s="67" t="s">
        <v>151</v>
      </c>
      <c r="N44" s="68">
        <v>0</v>
      </c>
      <c r="O44" s="67" t="s">
        <v>151</v>
      </c>
      <c r="P44" s="68">
        <v>0</v>
      </c>
      <c r="R44" s="128"/>
    </row>
    <row r="45" spans="2:18" ht="23.4" customHeight="1" thickTop="1" thickBot="1">
      <c r="B45" s="96" t="s">
        <v>155</v>
      </c>
      <c r="C45" s="131"/>
      <c r="D45" s="132"/>
      <c r="E45" s="133"/>
      <c r="F45" s="132"/>
      <c r="G45" s="133"/>
      <c r="H45" s="132"/>
      <c r="I45" s="133"/>
      <c r="J45" s="132"/>
      <c r="K45" s="133"/>
      <c r="L45" s="132"/>
      <c r="M45" s="133"/>
      <c r="N45" s="132"/>
      <c r="O45" s="133" t="s">
        <v>161</v>
      </c>
      <c r="P45" s="132"/>
      <c r="R45" s="98" t="s">
        <v>180</v>
      </c>
    </row>
    <row r="46" spans="2:18" ht="30" customHeight="1" thickTop="1">
      <c r="B46" s="94" t="s">
        <v>156</v>
      </c>
      <c r="C46" s="137" t="s">
        <v>204</v>
      </c>
      <c r="D46" s="135"/>
      <c r="E46" s="137" t="s">
        <v>204</v>
      </c>
      <c r="F46" s="135"/>
      <c r="G46" s="137" t="s">
        <v>204</v>
      </c>
      <c r="H46" s="135"/>
      <c r="I46" s="137" t="s">
        <v>204</v>
      </c>
      <c r="J46" s="135"/>
      <c r="K46" s="137" t="s">
        <v>204</v>
      </c>
      <c r="L46" s="135"/>
      <c r="M46" s="137" t="s">
        <v>162</v>
      </c>
      <c r="N46" s="135"/>
      <c r="O46" s="137" t="s">
        <v>204</v>
      </c>
      <c r="P46" s="135"/>
      <c r="R46" s="126" t="s">
        <v>181</v>
      </c>
    </row>
    <row r="47" spans="2:18" ht="30" customHeight="1">
      <c r="B47" s="94" t="s">
        <v>157</v>
      </c>
      <c r="C47" s="136" t="s">
        <v>163</v>
      </c>
      <c r="D47" s="105"/>
      <c r="E47" s="136" t="s">
        <v>163</v>
      </c>
      <c r="F47" s="105"/>
      <c r="G47" s="136" t="s">
        <v>163</v>
      </c>
      <c r="H47" s="105"/>
      <c r="I47" s="136" t="s">
        <v>163</v>
      </c>
      <c r="J47" s="105"/>
      <c r="K47" s="136" t="s">
        <v>163</v>
      </c>
      <c r="L47" s="105"/>
      <c r="M47" s="136" t="s">
        <v>163</v>
      </c>
      <c r="N47" s="105"/>
      <c r="O47" s="136" t="s">
        <v>163</v>
      </c>
      <c r="P47" s="105"/>
      <c r="R47" s="127"/>
    </row>
    <row r="48" spans="2:18" ht="30" customHeight="1">
      <c r="B48" s="94" t="s">
        <v>158</v>
      </c>
      <c r="C48" s="137" t="s">
        <v>205</v>
      </c>
      <c r="D48" s="135"/>
      <c r="E48" s="137" t="s">
        <v>205</v>
      </c>
      <c r="F48" s="135"/>
      <c r="G48" s="137" t="s">
        <v>205</v>
      </c>
      <c r="H48" s="135"/>
      <c r="I48" s="137" t="s">
        <v>205</v>
      </c>
      <c r="J48" s="135"/>
      <c r="K48" s="137" t="s">
        <v>205</v>
      </c>
      <c r="L48" s="135"/>
      <c r="M48" s="137" t="s">
        <v>212</v>
      </c>
      <c r="N48" s="135"/>
      <c r="O48" s="137" t="s">
        <v>214</v>
      </c>
      <c r="P48" s="135"/>
      <c r="R48" s="127"/>
    </row>
    <row r="49" spans="2:19" ht="30" customHeight="1">
      <c r="B49" s="94" t="s">
        <v>159</v>
      </c>
      <c r="C49" s="137"/>
      <c r="D49" s="135"/>
      <c r="E49" s="137"/>
      <c r="F49" s="135"/>
      <c r="G49" s="137"/>
      <c r="H49" s="135"/>
      <c r="I49" s="137"/>
      <c r="J49" s="135"/>
      <c r="K49" s="137"/>
      <c r="L49" s="135"/>
      <c r="M49" s="137" t="s">
        <v>213</v>
      </c>
      <c r="N49" s="135"/>
      <c r="O49" s="137" t="s">
        <v>215</v>
      </c>
      <c r="P49" s="135"/>
      <c r="R49" s="127"/>
    </row>
    <row r="50" spans="2:19" ht="30" customHeight="1" thickBot="1">
      <c r="B50" s="97" t="s">
        <v>160</v>
      </c>
      <c r="C50" s="137"/>
      <c r="D50" s="135"/>
      <c r="E50" s="137"/>
      <c r="F50" s="135"/>
      <c r="G50" s="137"/>
      <c r="H50" s="135"/>
      <c r="I50" s="137"/>
      <c r="J50" s="135"/>
      <c r="K50" s="137"/>
      <c r="L50" s="135"/>
      <c r="M50" s="137"/>
      <c r="N50" s="135"/>
      <c r="O50" s="137"/>
      <c r="P50" s="135"/>
      <c r="Q50" s="23"/>
      <c r="R50" s="128"/>
      <c r="S50" s="23"/>
    </row>
    <row r="51" spans="2:19" ht="17.399999999999999" thickTop="1" thickBot="1">
      <c r="B51" s="139" t="s">
        <v>34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76"/>
      <c r="R51" s="6"/>
      <c r="S51" s="6"/>
    </row>
    <row r="52" spans="2:19" ht="19.95" customHeight="1" thickTop="1" thickBot="1">
      <c r="B52" s="143" t="s">
        <v>167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R52" s="126" t="s">
        <v>182</v>
      </c>
      <c r="S52" s="6"/>
    </row>
    <row r="53" spans="2:19" ht="19.95" customHeight="1" thickTop="1" thickBot="1">
      <c r="B53" s="143" t="s">
        <v>216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R53" s="127"/>
      <c r="S53" s="6"/>
    </row>
    <row r="54" spans="2:19" ht="19.95" customHeight="1" thickTop="1" thickBot="1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5"/>
      <c r="R54" s="127"/>
      <c r="S54" s="6"/>
    </row>
    <row r="55" spans="2:19" ht="19.95" customHeight="1" thickTop="1" thickBot="1">
      <c r="B55" s="14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5"/>
      <c r="R55" s="128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95"/>
      <c r="C57" s="95"/>
      <c r="D57" s="95"/>
      <c r="K57" s="138"/>
      <c r="L57" s="138"/>
      <c r="M57" s="138"/>
      <c r="N57" s="138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95"/>
      <c r="C61" s="95"/>
      <c r="D61" s="95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K57:N57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E48:F48"/>
    <mergeCell ref="G48:H48"/>
    <mergeCell ref="I48:J48"/>
    <mergeCell ref="K48:L48"/>
    <mergeCell ref="M48:N48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C5:P5"/>
    <mergeCell ref="C6:D6"/>
    <mergeCell ref="E6:F6"/>
    <mergeCell ref="G6:H6"/>
    <mergeCell ref="I6:J6"/>
    <mergeCell ref="K6:L6"/>
    <mergeCell ref="M6:N6"/>
    <mergeCell ref="O6:P6"/>
    <mergeCell ref="B2:P2"/>
    <mergeCell ref="B3:B4"/>
    <mergeCell ref="C3:H3"/>
    <mergeCell ref="I3:L3"/>
    <mergeCell ref="M3:P3"/>
    <mergeCell ref="C4:P4"/>
  </mergeCells>
  <phoneticPr fontId="7" type="noConversion"/>
  <conditionalFormatting sqref="B10:P10">
    <cfRule type="cellIs" dxfId="71" priority="9" operator="greaterThan">
      <formula>0</formula>
    </cfRule>
  </conditionalFormatting>
  <conditionalFormatting sqref="B13:P13">
    <cfRule type="cellIs" dxfId="70" priority="3" operator="greaterThan">
      <formula>0</formula>
    </cfRule>
  </conditionalFormatting>
  <conditionalFormatting sqref="B14:P14">
    <cfRule type="cellIs" dxfId="69" priority="6" operator="greaterThan">
      <formula>0</formula>
    </cfRule>
  </conditionalFormatting>
  <conditionalFormatting sqref="C11:P11">
    <cfRule type="cellIs" dxfId="68" priority="7" operator="greaterThan">
      <formula>0</formula>
    </cfRule>
  </conditionalFormatting>
  <conditionalFormatting sqref="C15:P15 D31:D37 F31:F37 H31:H37 J31:J37 L31:L37 N31:N37 P31:P37">
    <cfRule type="cellIs" dxfId="67" priority="5" operator="greaterThan">
      <formula>0</formula>
    </cfRule>
  </conditionalFormatting>
  <conditionalFormatting sqref="C15:P16">
    <cfRule type="cellIs" dxfId="66" priority="8" operator="greaterThan">
      <formula>0</formula>
    </cfRule>
  </conditionalFormatting>
  <conditionalFormatting sqref="C17:P17">
    <cfRule type="cellIs" dxfId="65" priority="12" operator="greaterThan">
      <formula>0</formula>
    </cfRule>
  </conditionalFormatting>
  <conditionalFormatting sqref="C19:P19">
    <cfRule type="cellIs" dxfId="64" priority="10" operator="greaterThan">
      <formula>0</formula>
    </cfRule>
  </conditionalFormatting>
  <conditionalFormatting sqref="C21:P21">
    <cfRule type="cellIs" dxfId="63" priority="11" operator="greaterThan">
      <formula>0</formula>
    </cfRule>
  </conditionalFormatting>
  <conditionalFormatting sqref="C22:P22 D39:D42 F39:F42 H39:H42 J39:J42 L39:L42 N39:N42 P39:P42">
    <cfRule type="cellIs" dxfId="62" priority="4" operator="greaterThan">
      <formula>0</formula>
    </cfRule>
  </conditionalFormatting>
  <conditionalFormatting sqref="D43 F43 H43 J43 L43 N43 P43">
    <cfRule type="cellIs" dxfId="61" priority="1" operator="greaterThan">
      <formula>0</formula>
    </cfRule>
  </conditionalFormatting>
  <conditionalFormatting sqref="D44 F44 H44 J44 L44 N44 P44">
    <cfRule type="cellIs" dxfId="6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T81"/>
  <sheetViews>
    <sheetView zoomScaleNormal="100" workbookViewId="0">
      <selection activeCell="H21" sqref="H21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170</v>
      </c>
      <c r="S1" s="1" t="s">
        <v>184</v>
      </c>
    </row>
    <row r="2" spans="2:20" ht="28.2" customHeight="1" thickTop="1" thickBot="1">
      <c r="B2" s="106" t="s">
        <v>186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8"/>
      <c r="R2" s="98" t="s">
        <v>169</v>
      </c>
    </row>
    <row r="3" spans="2:20" ht="24" thickTop="1">
      <c r="B3" s="109" t="s">
        <v>94</v>
      </c>
      <c r="C3" s="111" t="str">
        <f>SUM(C10,E10,G10,I10,K10,M10,O10)*钻石购买 &amp;"钻石"</f>
        <v>49000钻石</v>
      </c>
      <c r="D3" s="112"/>
      <c r="E3" s="112"/>
      <c r="F3" s="112"/>
      <c r="G3" s="112"/>
      <c r="H3" s="112"/>
      <c r="I3" s="113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0元</v>
      </c>
      <c r="J3" s="113"/>
      <c r="K3" s="113"/>
      <c r="L3" s="113"/>
      <c r="M3" s="114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0翡翠</v>
      </c>
      <c r="N3" s="114"/>
      <c r="O3" s="114"/>
      <c r="P3" s="115"/>
    </row>
    <row r="4" spans="2:20" ht="21" thickBot="1">
      <c r="B4" s="110"/>
      <c r="C4" s="116" t="str">
        <f>"最终收益："&amp;ROUNDDOWN(O29,0)&amp;B29&amp;"+"&amp;ROUNDDOWN(O28,0)&amp;B28</f>
        <v>最终收益：28月华糕+1104桂香糕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2:20" ht="21.6" thickTop="1" thickBot="1">
      <c r="B5" s="30" t="s">
        <v>153</v>
      </c>
      <c r="C5" s="119" t="s">
        <v>154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98" t="s">
        <v>171</v>
      </c>
    </row>
    <row r="6" spans="2:20" ht="16.8" thickTop="1" thickBot="1">
      <c r="B6" s="66" t="s">
        <v>93</v>
      </c>
      <c r="C6" s="122" t="s">
        <v>24</v>
      </c>
      <c r="D6" s="123"/>
      <c r="E6" s="122" t="s">
        <v>25</v>
      </c>
      <c r="F6" s="123"/>
      <c r="G6" s="122" t="s">
        <v>26</v>
      </c>
      <c r="H6" s="123"/>
      <c r="I6" s="122" t="s">
        <v>27</v>
      </c>
      <c r="J6" s="123"/>
      <c r="K6" s="122" t="s">
        <v>28</v>
      </c>
      <c r="L6" s="123"/>
      <c r="M6" s="122" t="s">
        <v>29</v>
      </c>
      <c r="N6" s="123"/>
      <c r="O6" s="122" t="s">
        <v>30</v>
      </c>
      <c r="P6" s="123"/>
      <c r="R6" s="6"/>
      <c r="S6" s="23"/>
      <c r="T6" s="23"/>
    </row>
    <row r="7" spans="2:20" ht="16.8" thickTop="1" thickBot="1">
      <c r="B7" s="13" t="s">
        <v>95</v>
      </c>
      <c r="C7" s="67" t="str">
        <f>抽奖道具</f>
        <v>随机骰子</v>
      </c>
      <c r="D7" s="68" t="s">
        <v>6</v>
      </c>
      <c r="E7" s="67" t="str">
        <f>抽奖道具</f>
        <v>随机骰子</v>
      </c>
      <c r="F7" s="68" t="s">
        <v>6</v>
      </c>
      <c r="G7" s="67" t="str">
        <f>抽奖道具</f>
        <v>随机骰子</v>
      </c>
      <c r="H7" s="68" t="s">
        <v>6</v>
      </c>
      <c r="I7" s="67" t="str">
        <f>抽奖道具</f>
        <v>随机骰子</v>
      </c>
      <c r="J7" s="68" t="s">
        <v>6</v>
      </c>
      <c r="K7" s="67" t="str">
        <f>抽奖道具</f>
        <v>随机骰子</v>
      </c>
      <c r="L7" s="68" t="s">
        <v>6</v>
      </c>
      <c r="M7" s="67" t="str">
        <f>抽奖道具</f>
        <v>随机骰子</v>
      </c>
      <c r="N7" s="68" t="s">
        <v>6</v>
      </c>
      <c r="O7" s="67" t="str">
        <f>抽奖道具</f>
        <v>随机骰子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0</v>
      </c>
      <c r="D8" s="4">
        <f t="shared" ref="D8:D16" si="0">C8*积分规则1</f>
        <v>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30</v>
      </c>
      <c r="D9" s="4">
        <f t="shared" si="0"/>
        <v>60</v>
      </c>
      <c r="E9" s="3">
        <f>每日任务抽奖道具数量</f>
        <v>30</v>
      </c>
      <c r="F9" s="4">
        <f t="shared" si="1"/>
        <v>60</v>
      </c>
      <c r="G9" s="3">
        <f>每日任务抽奖道具数量</f>
        <v>30</v>
      </c>
      <c r="H9" s="4">
        <f t="shared" si="2"/>
        <v>60</v>
      </c>
      <c r="I9" s="3">
        <f>每日任务抽奖道具数量</f>
        <v>30</v>
      </c>
      <c r="J9" s="4">
        <f t="shared" si="3"/>
        <v>60</v>
      </c>
      <c r="K9" s="3">
        <f>每日任务抽奖道具数量</f>
        <v>30</v>
      </c>
      <c r="L9" s="4">
        <f t="shared" si="4"/>
        <v>60</v>
      </c>
      <c r="M9" s="3">
        <f>每日任务抽奖道具数量</f>
        <v>30</v>
      </c>
      <c r="N9" s="4">
        <f t="shared" si="5"/>
        <v>60</v>
      </c>
      <c r="O9" s="3">
        <f>每日任务抽奖道具数量</f>
        <v>30</v>
      </c>
      <c r="P9" s="4">
        <f t="shared" si="6"/>
        <v>60</v>
      </c>
    </row>
    <row r="10" spans="2:20" ht="16.8" thickTop="1" thickBot="1">
      <c r="B10" s="14" t="s">
        <v>17</v>
      </c>
      <c r="C10" s="3">
        <v>70</v>
      </c>
      <c r="D10" s="4">
        <f t="shared" si="0"/>
        <v>140</v>
      </c>
      <c r="E10" s="3">
        <v>70</v>
      </c>
      <c r="F10" s="4">
        <f t="shared" si="1"/>
        <v>140</v>
      </c>
      <c r="G10" s="3">
        <v>70</v>
      </c>
      <c r="H10" s="4">
        <f t="shared" si="2"/>
        <v>140</v>
      </c>
      <c r="I10" s="3">
        <v>70</v>
      </c>
      <c r="J10" s="4">
        <f t="shared" si="3"/>
        <v>140</v>
      </c>
      <c r="K10" s="3">
        <v>70</v>
      </c>
      <c r="L10" s="4">
        <f t="shared" si="4"/>
        <v>140</v>
      </c>
      <c r="M10" s="3">
        <v>70</v>
      </c>
      <c r="N10" s="4">
        <f t="shared" si="5"/>
        <v>140</v>
      </c>
      <c r="O10" s="3">
        <v>70</v>
      </c>
      <c r="P10" s="4">
        <f t="shared" si="6"/>
        <v>140</v>
      </c>
      <c r="R10" s="98" t="s">
        <v>176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75</v>
      </c>
      <c r="P11" s="4">
        <f t="shared" si="6"/>
        <v>150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2</v>
      </c>
      <c r="D13" s="4">
        <f t="shared" ref="D13:P13" si="7">C13*积分规则1</f>
        <v>4</v>
      </c>
      <c r="E13" s="3">
        <f>每日广告抽奖道具数量</f>
        <v>2</v>
      </c>
      <c r="F13" s="4">
        <f t="shared" si="7"/>
        <v>4</v>
      </c>
      <c r="G13" s="3">
        <f>每日广告抽奖道具数量</f>
        <v>2</v>
      </c>
      <c r="H13" s="4">
        <f t="shared" si="7"/>
        <v>4</v>
      </c>
      <c r="I13" s="3">
        <f>每日广告抽奖道具数量</f>
        <v>2</v>
      </c>
      <c r="J13" s="4">
        <f t="shared" si="7"/>
        <v>4</v>
      </c>
      <c r="K13" s="3">
        <f>每日广告抽奖道具数量</f>
        <v>2</v>
      </c>
      <c r="L13" s="4">
        <f t="shared" si="7"/>
        <v>4</v>
      </c>
      <c r="M13" s="3">
        <f>每日广告抽奖道具数量</f>
        <v>2</v>
      </c>
      <c r="N13" s="4">
        <f t="shared" si="7"/>
        <v>4</v>
      </c>
      <c r="O13" s="3">
        <f>每日广告抽奖道具数量</f>
        <v>2</v>
      </c>
      <c r="P13" s="4">
        <f t="shared" si="7"/>
        <v>4</v>
      </c>
    </row>
    <row r="14" spans="2:20" ht="16.2" thickBot="1">
      <c r="B14" s="34" t="s">
        <v>73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0</v>
      </c>
      <c r="N15" s="4">
        <f t="shared" si="5"/>
        <v>0</v>
      </c>
      <c r="O15" s="3">
        <f>SUM(P31*抽奖道具礼包1,P32*抽奖道具礼包2,P33*抽奖道具礼包3,P34*抽奖道具礼包4,P35*抽奖道具礼包5,P36*抽奖道具礼包6,P37*抽奖道具礼包7)</f>
        <v>0</v>
      </c>
      <c r="P15" s="4">
        <f t="shared" si="6"/>
        <v>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0</v>
      </c>
      <c r="P16" s="4">
        <f t="shared" si="6"/>
        <v>0</v>
      </c>
    </row>
    <row r="17" spans="2:19" ht="16.8" thickTop="1" thickBot="1">
      <c r="B17" s="40" t="str">
        <f>"使用"&amp;抽奖道具</f>
        <v>使用随机骰子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0</v>
      </c>
      <c r="N17" s="4">
        <f>M17*积分规则3</f>
        <v>0</v>
      </c>
      <c r="O17" s="3">
        <v>789</v>
      </c>
      <c r="P17" s="4">
        <f>O17*积分规则3</f>
        <v>920.49999999999989</v>
      </c>
      <c r="R17" s="98" t="s">
        <v>175</v>
      </c>
    </row>
    <row r="18" spans="2:19" ht="16.8" thickTop="1" thickBot="1">
      <c r="B18" s="36" t="str">
        <f>"剩余"&amp;抽奖道具</f>
        <v>剩余随机骰子</v>
      </c>
      <c r="C18" s="3">
        <f>C26-C17</f>
        <v>102</v>
      </c>
      <c r="D18" s="87">
        <f>C18*积分规则3</f>
        <v>118.99999999999999</v>
      </c>
      <c r="E18" s="3">
        <f>C18+SUM(E8:E16)-E17</f>
        <v>204</v>
      </c>
      <c r="F18" s="87">
        <f>E18*积分规则3</f>
        <v>237.99999999999997</v>
      </c>
      <c r="G18" s="3">
        <f>E18+SUM(G8:G16)-G17</f>
        <v>306</v>
      </c>
      <c r="H18" s="87">
        <f>G18*积分规则3</f>
        <v>356.99999999999994</v>
      </c>
      <c r="I18" s="3">
        <f>G18+SUM(I8:I16)-I17</f>
        <v>408</v>
      </c>
      <c r="J18" s="87">
        <f>I18*积分规则3</f>
        <v>475.99999999999994</v>
      </c>
      <c r="K18" s="3">
        <f>I18+SUM(K8:K16)-K17</f>
        <v>510</v>
      </c>
      <c r="L18" s="87">
        <f>K18*积分规则3</f>
        <v>594.99999999999989</v>
      </c>
      <c r="M18" s="3">
        <f>K18+SUM(M8:M16)-M17</f>
        <v>612</v>
      </c>
      <c r="N18" s="87">
        <f>M18*积分规则3</f>
        <v>713.99999999999989</v>
      </c>
      <c r="O18" s="3">
        <f>M18+SUM(O8:O16)-O17</f>
        <v>0</v>
      </c>
      <c r="P18" s="87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27</v>
      </c>
      <c r="P19" s="4">
        <f>O19*随机箱积分</f>
        <v>0</v>
      </c>
      <c r="R19" s="98" t="s">
        <v>177</v>
      </c>
      <c r="S19" s="26"/>
    </row>
    <row r="20" spans="2:19" ht="16.8" thickTop="1" thickBot="1">
      <c r="B20" s="36" t="s">
        <v>33</v>
      </c>
      <c r="C20" s="3">
        <f>C27-SUM(C19)+D44*氪金基金随机箱</f>
        <v>1</v>
      </c>
      <c r="D20" s="4">
        <f>C20*随机箱积分</f>
        <v>0</v>
      </c>
      <c r="E20" s="3">
        <f>E27-SUM(C19,E19)+F44*氪金基金随机箱</f>
        <v>2</v>
      </c>
      <c r="F20" s="4">
        <f>E20*随机箱积分</f>
        <v>0</v>
      </c>
      <c r="G20" s="3">
        <f>G27-SUM(C19,E19,G19)+H44*氪金基金随机箱</f>
        <v>3</v>
      </c>
      <c r="H20" s="4">
        <f>G20*随机箱积分</f>
        <v>0</v>
      </c>
      <c r="I20" s="3">
        <f>I27-SUM(C19,E19,G19,I19)+J44*氪金基金随机箱</f>
        <v>4</v>
      </c>
      <c r="J20" s="4">
        <f>I20*随机箱积分</f>
        <v>0</v>
      </c>
      <c r="K20" s="3">
        <f>K27-SUM(C19,E19,G19,I19,K19)+L44*氪金基金随机箱</f>
        <v>5</v>
      </c>
      <c r="L20" s="4">
        <f>K20*随机箱积分</f>
        <v>0</v>
      </c>
      <c r="M20" s="3">
        <f>M27-SUM(C19,E19,G19,I19,K19,M19)+N44*氪金基金随机箱</f>
        <v>6</v>
      </c>
      <c r="N20" s="4">
        <f>M20*随机箱积分</f>
        <v>0</v>
      </c>
      <c r="O20" s="3">
        <f>O27-SUM(C19,E19,G19,I19,K19,M19,O19)+P44*氪金基金随机箱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兑换月华糕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8" t="s">
        <v>179</v>
      </c>
    </row>
    <row r="22" spans="2:19" ht="16.2" thickTop="1">
      <c r="B22" s="70" t="str">
        <f xml:space="preserve"> "氪金"&amp;高级兑换道具</f>
        <v>氪金月华糕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98</v>
      </c>
      <c r="C24" s="42" t="str">
        <f>IFERROR(LOOKUP(D24,档位积分1:档位积分5,第1档:第5档),"无奖励")</f>
        <v>第1档</v>
      </c>
      <c r="D24" s="43">
        <f>SUM(D8:D17)+D19+SUM(D21:D23)</f>
        <v>204</v>
      </c>
      <c r="E24" s="44" t="str">
        <f>IFERROR(LOOKUP(F24,档位积分1:档位积分5,第1档:第5档),"无奖励")</f>
        <v>第1档</v>
      </c>
      <c r="F24" s="43">
        <f>SUM(F8:F17)+F19+SUM(F21:F23)</f>
        <v>204</v>
      </c>
      <c r="G24" s="44" t="str">
        <f>IFERROR(LOOKUP(H24,档位积分1:档位积分5,第1档:第5档),"无奖励")</f>
        <v>第1档</v>
      </c>
      <c r="H24" s="43">
        <f>SUM(H8:H17)+H19+SUM(H21:H23)</f>
        <v>204</v>
      </c>
      <c r="I24" s="44" t="str">
        <f>IFERROR(LOOKUP(J24,档位积分1:档位积分5,第1档:第5档),"无奖励")</f>
        <v>第1档</v>
      </c>
      <c r="J24" s="43">
        <f>SUM(J8:J17)+J19+SUM(J21:J23)</f>
        <v>204</v>
      </c>
      <c r="K24" s="44" t="str">
        <f>IFERROR(LOOKUP(L24,档位积分1:档位积分5,第1档:第5档),"无奖励")</f>
        <v>第1档</v>
      </c>
      <c r="L24" s="43">
        <f>SUM(L8:L17)+L19+SUM(L21:L23)</f>
        <v>204</v>
      </c>
      <c r="M24" s="44" t="str">
        <f>IFERROR(LOOKUP(N24,档位积分1:档位积分5,第1档:第5档),"无奖励")</f>
        <v>第1档</v>
      </c>
      <c r="N24" s="43">
        <f>SUM(N8:N17)+N19+SUM(N21:N23)</f>
        <v>204</v>
      </c>
      <c r="O24" s="44" t="str">
        <f>IFERROR(LOOKUP(P24,档位积分1:档位积分5,第1档:第5档),"无奖励")</f>
        <v>第4档</v>
      </c>
      <c r="P24" s="43">
        <f>SUM(P8:P17)+P19+SUM(P21:P23)</f>
        <v>1274.5</v>
      </c>
    </row>
    <row r="25" spans="2:19" ht="16.8" thickTop="1" thickBot="1">
      <c r="B25" s="13" t="s">
        <v>99</v>
      </c>
      <c r="C25" s="85">
        <f>D24-IF(C24="无奖励", "",
   INDEX(档位积分1:档位积分5, MATCH(D24, 档位积分1:档位积分5, 1)))</f>
        <v>114</v>
      </c>
      <c r="D25" s="86">
        <f>IF(D24&gt;=MAX(档位积分1:档位积分5), "",
   IF(D24&lt;MIN(档位积分1:档位积分5), MIN(档位积分1:档位积分5),
      INDEX(档位积分1:档位积分5, MATCH(D24, 档位积分1:档位积分5, 1)+1)))-D24</f>
        <v>96</v>
      </c>
      <c r="E25" s="85">
        <f>F24-IF(E24="无奖励", "",
   INDEX(档位积分1:档位积分5, MATCH(F24, 档位积分1:档位积分5, 1)))</f>
        <v>114</v>
      </c>
      <c r="F25" s="86">
        <f>IF(F24&gt;=MAX(档位积分1:档位积分5), "",
   IF(F24&lt;MIN(档位积分1:档位积分5), MIN(档位积分1:档位积分5),
      INDEX(档位积分1:档位积分5, MATCH(F24, 档位积分1:档位积分5, 1)+1)))-F24</f>
        <v>96</v>
      </c>
      <c r="G25" s="85">
        <f>H24-IF(G24="无奖励", "",
   INDEX(档位积分1:档位积分5, MATCH(H24, 档位积分1:档位积分5, 1)))</f>
        <v>114</v>
      </c>
      <c r="H25" s="86">
        <f>IF(H24&gt;=MAX(档位积分1:档位积分5), "",
   IF(H24&lt;MIN(档位积分1:档位积分5), MIN(档位积分1:档位积分5),
      INDEX(档位积分1:档位积分5, MATCH(H24, 档位积分1:档位积分5, 1)+1)))-H24</f>
        <v>96</v>
      </c>
      <c r="I25" s="85">
        <f>J24-IF(I24="无奖励", "",
   INDEX(档位积分1:档位积分5, MATCH(J24, 档位积分1:档位积分5, 1)))</f>
        <v>114</v>
      </c>
      <c r="J25" s="86">
        <f>IF(J24&gt;=MAX(档位积分1:档位积分5), "",
   IF(J24&lt;MIN(档位积分1:档位积分5), MIN(档位积分1:档位积分5),
      INDEX(档位积分1:档位积分5, MATCH(J24, 档位积分1:档位积分5, 1)+1)))-J24</f>
        <v>96</v>
      </c>
      <c r="K25" s="85">
        <f>L24-IF(K24="无奖励", "",
   INDEX(档位积分1:档位积分5, MATCH(L24, 档位积分1:档位积分5, 1)))</f>
        <v>114</v>
      </c>
      <c r="L25" s="86">
        <f>IF(L24&gt;=MAX(档位积分1:档位积分5), "",
   IF(L24&lt;MIN(档位积分1:档位积分5), MIN(档位积分1:档位积分5),
      INDEX(档位积分1:档位积分5, MATCH(L24, 档位积分1:档位积分5, 1)+1)))-L24</f>
        <v>96</v>
      </c>
      <c r="M25" s="85">
        <f>N24-IF(M24="无奖励", "",
   INDEX(档位积分1:档位积分5, MATCH(N24, 档位积分1:档位积分5, 1)))</f>
        <v>114</v>
      </c>
      <c r="N25" s="86">
        <f>IF(N24&gt;=MAX(档位积分1:档位积分5), "",
   IF(N24&lt;MIN(档位积分1:档位积分5), MIN(档位积分1:档位积分5),
      INDEX(档位积分1:档位积分5, MATCH(N24, 档位积分1:档位积分5, 1)+1)))-N24</f>
        <v>96</v>
      </c>
      <c r="O25" s="85">
        <f>P24-IF(O24="无奖励", "",
   INDEX(档位积分1:档位积分5, MATCH(P24, 档位积分1:档位积分5, 1)))</f>
        <v>32.5</v>
      </c>
      <c r="P25" s="86">
        <f>IF(P24&gt;=MAX(档位积分1:档位积分5), "",
   IF(P24&lt;MIN(档位积分1:档位积分5), MIN(档位积分1:档位积分5),
      INDEX(档位积分1:档位积分5, MATCH(P24, 档位积分1:档位积分5, 1)+1)))-P24</f>
        <v>777.5</v>
      </c>
    </row>
    <row r="26" spans="2:19" ht="16.2" thickTop="1">
      <c r="B26" s="41" t="str">
        <f>"总"&amp;抽奖道具</f>
        <v>总随机骰子</v>
      </c>
      <c r="C26" s="31">
        <f>SUM(C8:C16)</f>
        <v>102</v>
      </c>
      <c r="D26" s="49">
        <f>C26*积分规则3</f>
        <v>118.99999999999999</v>
      </c>
      <c r="E26" s="31">
        <f>C26+SUM(E8:E16)</f>
        <v>204</v>
      </c>
      <c r="F26" s="49">
        <f>E26*积分规则3</f>
        <v>237.99999999999997</v>
      </c>
      <c r="G26" s="31">
        <f>E26+SUM(G8:G16)</f>
        <v>306</v>
      </c>
      <c r="H26" s="49">
        <f>G26*积分规则3</f>
        <v>356.99999999999994</v>
      </c>
      <c r="I26" s="31">
        <f>G26+SUM(I8:I16)</f>
        <v>408</v>
      </c>
      <c r="J26" s="49">
        <f>I26*积分规则3</f>
        <v>475.99999999999994</v>
      </c>
      <c r="K26" s="31">
        <f>I26+SUM(K8:K16)</f>
        <v>510</v>
      </c>
      <c r="L26" s="49">
        <f>K26*积分规则3</f>
        <v>594.99999999999989</v>
      </c>
      <c r="M26" s="31">
        <f>K26+SUM(M8:M16)</f>
        <v>612</v>
      </c>
      <c r="N26" s="49">
        <f>M26*积分规则3</f>
        <v>713.99999999999989</v>
      </c>
      <c r="O26" s="31">
        <f>M26+SUM(O8:O16)</f>
        <v>789</v>
      </c>
      <c r="P26" s="49">
        <f>O26*积分规则3</f>
        <v>920.49999999999989</v>
      </c>
    </row>
    <row r="27" spans="2:19" ht="16.2" thickBot="1">
      <c r="B27" s="30" t="s">
        <v>41</v>
      </c>
      <c r="C27" s="5">
        <f>IFERROR(LOOKUP(D24,档位积分1:档位积分5,档位奖励1:档位奖励5),0)</f>
        <v>1</v>
      </c>
      <c r="D27" s="12">
        <f>C27*随机箱积分</f>
        <v>0</v>
      </c>
      <c r="E27" s="5">
        <f>IFERROR(LOOKUP(F24,档位积分1:档位积分5,档位奖励1:档位奖励5),0)+C27</f>
        <v>2</v>
      </c>
      <c r="F27" s="12">
        <f>E27*随机箱积分</f>
        <v>0</v>
      </c>
      <c r="G27" s="5">
        <f>IFERROR(LOOKUP(H24,档位积分1:档位积分5,档位奖励1:档位奖励5),0)+E27</f>
        <v>3</v>
      </c>
      <c r="H27" s="12">
        <f>G27*随机箱积分</f>
        <v>0</v>
      </c>
      <c r="I27" s="5">
        <f>IFERROR(LOOKUP(J24,档位积分1:档位积分5,档位奖励1:档位奖励5),0)+G27</f>
        <v>4</v>
      </c>
      <c r="J27" s="12">
        <f>I27*随机箱积分</f>
        <v>0</v>
      </c>
      <c r="K27" s="5">
        <f>IFERROR(LOOKUP(L24,档位积分1:档位积分5,档位奖励1:档位奖励5),0)+I27</f>
        <v>5</v>
      </c>
      <c r="L27" s="12">
        <f>K27*随机箱积分</f>
        <v>0</v>
      </c>
      <c r="M27" s="5">
        <f>IFERROR(LOOKUP(N24,档位积分1:档位积分5,档位奖励1:档位奖励5),0)+K27</f>
        <v>6</v>
      </c>
      <c r="N27" s="12">
        <f>M27*随机箱积分</f>
        <v>0</v>
      </c>
      <c r="O27" s="5">
        <f>IFERROR(LOOKUP(P24,档位积分1:档位积分5,档位奖励1:档位奖励5),0)+M27</f>
        <v>27</v>
      </c>
      <c r="P27" s="12">
        <f>O27*随机箱积分</f>
        <v>0</v>
      </c>
    </row>
    <row r="28" spans="2:19" ht="16.2" thickTop="1">
      <c r="B28" s="33" t="str">
        <f>普通兑换道具</f>
        <v>桂香糕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0</v>
      </c>
      <c r="N28" s="46"/>
      <c r="O28" s="45">
        <f>O17*普通兑换道具抽奖期望+M28</f>
        <v>1104.5999999999999</v>
      </c>
      <c r="P28" s="32"/>
    </row>
    <row r="29" spans="2:19" ht="16.2" thickBot="1">
      <c r="B29" s="34" t="str">
        <f>高级兑换道具</f>
        <v>月华糕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28.376999999999999</v>
      </c>
      <c r="P29" s="12"/>
    </row>
    <row r="30" spans="2:19" ht="16.8" thickTop="1" thickBot="1">
      <c r="B30" s="41" t="s">
        <v>97</v>
      </c>
      <c r="C30" s="55" t="str">
        <f>C7</f>
        <v>随机骰子</v>
      </c>
      <c r="D30" s="56" t="s">
        <v>96</v>
      </c>
      <c r="E30" s="55" t="str">
        <f>E7</f>
        <v>随机骰子</v>
      </c>
      <c r="F30" s="56" t="s">
        <v>96</v>
      </c>
      <c r="G30" s="55" t="str">
        <f>G7</f>
        <v>随机骰子</v>
      </c>
      <c r="H30" s="56" t="s">
        <v>96</v>
      </c>
      <c r="I30" s="55" t="str">
        <f>I7</f>
        <v>随机骰子</v>
      </c>
      <c r="J30" s="56" t="s">
        <v>96</v>
      </c>
      <c r="K30" s="55" t="str">
        <f>K7</f>
        <v>随机骰子</v>
      </c>
      <c r="L30" s="56" t="s">
        <v>96</v>
      </c>
      <c r="M30" s="55" t="str">
        <f>M7</f>
        <v>随机骰子</v>
      </c>
      <c r="N30" s="56" t="s">
        <v>96</v>
      </c>
      <c r="O30" s="55" t="str">
        <f>O7</f>
        <v>随机骰子</v>
      </c>
      <c r="P30" s="56" t="s">
        <v>96</v>
      </c>
    </row>
    <row r="31" spans="2:19" ht="16.2" customHeight="1" thickTop="1">
      <c r="B31" s="59" t="str">
        <f>抽奖道具 &amp; "礼包Ⅰ"</f>
        <v>随机骰子礼包Ⅰ</v>
      </c>
      <c r="C31" s="39">
        <f>抽奖道具礼包1</f>
        <v>30</v>
      </c>
      <c r="D31" s="24">
        <v>0</v>
      </c>
      <c r="E31" s="39">
        <f>抽奖道具礼包1</f>
        <v>30</v>
      </c>
      <c r="F31" s="24">
        <v>0</v>
      </c>
      <c r="G31" s="39">
        <f>抽奖道具礼包1</f>
        <v>30</v>
      </c>
      <c r="H31" s="24">
        <v>0</v>
      </c>
      <c r="I31" s="39">
        <f>抽奖道具礼包1</f>
        <v>30</v>
      </c>
      <c r="J31" s="24">
        <v>0</v>
      </c>
      <c r="K31" s="39">
        <f>抽奖道具礼包1</f>
        <v>30</v>
      </c>
      <c r="L31" s="24">
        <v>0</v>
      </c>
      <c r="M31" s="39">
        <f>抽奖道具礼包1</f>
        <v>30</v>
      </c>
      <c r="N31" s="24">
        <v>0</v>
      </c>
      <c r="O31" s="39">
        <f>抽奖道具礼包1</f>
        <v>30</v>
      </c>
      <c r="P31" s="24">
        <v>0</v>
      </c>
      <c r="R31" s="126" t="s">
        <v>183</v>
      </c>
    </row>
    <row r="32" spans="2:19">
      <c r="B32" s="99" t="str">
        <f>抽奖道具 &amp; "礼包Ⅱ"</f>
        <v>随机骰子礼包Ⅱ</v>
      </c>
      <c r="C32" s="39">
        <f>抽奖道具礼包2</f>
        <v>45</v>
      </c>
      <c r="D32" s="24">
        <v>0</v>
      </c>
      <c r="E32" s="39">
        <f>抽奖道具礼包2</f>
        <v>45</v>
      </c>
      <c r="F32" s="24">
        <v>0</v>
      </c>
      <c r="G32" s="39">
        <f>抽奖道具礼包2</f>
        <v>45</v>
      </c>
      <c r="H32" s="24">
        <v>0</v>
      </c>
      <c r="I32" s="39">
        <f>抽奖道具礼包2</f>
        <v>45</v>
      </c>
      <c r="J32" s="24">
        <v>0</v>
      </c>
      <c r="K32" s="39">
        <f>抽奖道具礼包2</f>
        <v>45</v>
      </c>
      <c r="L32" s="24">
        <v>0</v>
      </c>
      <c r="M32" s="39">
        <f>抽奖道具礼包2</f>
        <v>45</v>
      </c>
      <c r="N32" s="24">
        <v>0</v>
      </c>
      <c r="O32" s="39">
        <f>抽奖道具礼包2</f>
        <v>45</v>
      </c>
      <c r="P32" s="24">
        <v>0</v>
      </c>
      <c r="R32" s="127"/>
    </row>
    <row r="33" spans="2:18">
      <c r="B33" s="99" t="str">
        <f>抽奖道具 &amp; "礼包Ⅲ"</f>
        <v>随机骰子礼包Ⅲ</v>
      </c>
      <c r="C33" s="39">
        <f>抽奖道具礼包3</f>
        <v>90</v>
      </c>
      <c r="D33" s="24">
        <v>0</v>
      </c>
      <c r="E33" s="39">
        <f>抽奖道具礼包3</f>
        <v>90</v>
      </c>
      <c r="F33" s="24">
        <v>0</v>
      </c>
      <c r="G33" s="39">
        <f>抽奖道具礼包3</f>
        <v>90</v>
      </c>
      <c r="H33" s="24">
        <v>0</v>
      </c>
      <c r="I33" s="39">
        <f>抽奖道具礼包3</f>
        <v>90</v>
      </c>
      <c r="J33" s="24">
        <v>0</v>
      </c>
      <c r="K33" s="39">
        <f>抽奖道具礼包3</f>
        <v>90</v>
      </c>
      <c r="L33" s="24">
        <v>0</v>
      </c>
      <c r="M33" s="39">
        <f>抽奖道具礼包3</f>
        <v>90</v>
      </c>
      <c r="N33" s="24">
        <v>0</v>
      </c>
      <c r="O33" s="39">
        <f>抽奖道具礼包3</f>
        <v>90</v>
      </c>
      <c r="P33" s="24">
        <v>0</v>
      </c>
      <c r="R33" s="127"/>
    </row>
    <row r="34" spans="2:18">
      <c r="B34" s="99" t="str">
        <f>抽奖道具 &amp; "礼包Ⅳ"</f>
        <v>随机骰子礼包Ⅳ</v>
      </c>
      <c r="C34" s="39">
        <f>抽奖道具礼包4</f>
        <v>150</v>
      </c>
      <c r="D34" s="24">
        <v>0</v>
      </c>
      <c r="E34" s="39">
        <f>抽奖道具礼包4</f>
        <v>150</v>
      </c>
      <c r="F34" s="24">
        <v>0</v>
      </c>
      <c r="G34" s="39">
        <f>抽奖道具礼包4</f>
        <v>150</v>
      </c>
      <c r="H34" s="24">
        <v>0</v>
      </c>
      <c r="I34" s="39">
        <f>抽奖道具礼包4</f>
        <v>150</v>
      </c>
      <c r="J34" s="24">
        <v>0</v>
      </c>
      <c r="K34" s="39">
        <f>抽奖道具礼包4</f>
        <v>150</v>
      </c>
      <c r="L34" s="24">
        <v>0</v>
      </c>
      <c r="M34" s="39">
        <f>抽奖道具礼包4</f>
        <v>150</v>
      </c>
      <c r="N34" s="24">
        <v>0</v>
      </c>
      <c r="O34" s="39">
        <f>抽奖道具礼包4</f>
        <v>150</v>
      </c>
      <c r="P34" s="24">
        <v>0</v>
      </c>
      <c r="R34" s="127"/>
    </row>
    <row r="35" spans="2:18">
      <c r="B35" s="99" t="str">
        <f>抽奖道具 &amp; "礼包Ⅴ"</f>
        <v>随机骰子礼包Ⅴ</v>
      </c>
      <c r="C35" s="39">
        <f>抽奖道具礼包5</f>
        <v>270</v>
      </c>
      <c r="D35" s="24">
        <v>0</v>
      </c>
      <c r="E35" s="39">
        <f>抽奖道具礼包5</f>
        <v>270</v>
      </c>
      <c r="F35" s="24">
        <v>0</v>
      </c>
      <c r="G35" s="39">
        <f>抽奖道具礼包5</f>
        <v>270</v>
      </c>
      <c r="H35" s="24">
        <v>0</v>
      </c>
      <c r="I35" s="39">
        <f>抽奖道具礼包5</f>
        <v>270</v>
      </c>
      <c r="J35" s="24">
        <v>0</v>
      </c>
      <c r="K35" s="39">
        <f>抽奖道具礼包5</f>
        <v>270</v>
      </c>
      <c r="L35" s="24">
        <v>0</v>
      </c>
      <c r="M35" s="39">
        <f>抽奖道具礼包5</f>
        <v>270</v>
      </c>
      <c r="N35" s="24">
        <v>0</v>
      </c>
      <c r="O35" s="39">
        <f>抽奖道具礼包5</f>
        <v>270</v>
      </c>
      <c r="P35" s="24">
        <v>0</v>
      </c>
      <c r="R35" s="127"/>
    </row>
    <row r="36" spans="2:18">
      <c r="B36" s="99" t="str">
        <f>抽奖道具 &amp; "礼包Ⅵ"</f>
        <v>随机骰子礼包Ⅵ</v>
      </c>
      <c r="C36" s="39">
        <f>抽奖道具礼包6</f>
        <v>0</v>
      </c>
      <c r="D36" s="24">
        <v>0</v>
      </c>
      <c r="E36" s="39">
        <f>抽奖道具礼包6</f>
        <v>0</v>
      </c>
      <c r="F36" s="24">
        <v>0</v>
      </c>
      <c r="G36" s="39">
        <f>抽奖道具礼包6</f>
        <v>0</v>
      </c>
      <c r="H36" s="24">
        <v>0</v>
      </c>
      <c r="I36" s="39">
        <f>抽奖道具礼包6</f>
        <v>0</v>
      </c>
      <c r="J36" s="24">
        <v>0</v>
      </c>
      <c r="K36" s="39">
        <f>抽奖道具礼包6</f>
        <v>0</v>
      </c>
      <c r="L36" s="24">
        <v>0</v>
      </c>
      <c r="M36" s="39">
        <f>抽奖道具礼包6</f>
        <v>0</v>
      </c>
      <c r="N36" s="24">
        <v>0</v>
      </c>
      <c r="O36" s="39">
        <f>抽奖道具礼包6</f>
        <v>0</v>
      </c>
      <c r="P36" s="24">
        <v>0</v>
      </c>
      <c r="R36" s="127"/>
    </row>
    <row r="37" spans="2:18" ht="16.2" thickBot="1">
      <c r="B37" s="100" t="str">
        <f>抽奖道具 &amp; "礼包Ⅶ"</f>
        <v>随机骰子礼包Ⅶ</v>
      </c>
      <c r="C37" s="57">
        <f>抽奖道具礼包7</f>
        <v>0</v>
      </c>
      <c r="D37" s="12">
        <v>0</v>
      </c>
      <c r="E37" s="57">
        <f>抽奖道具礼包7</f>
        <v>0</v>
      </c>
      <c r="F37" s="12">
        <v>0</v>
      </c>
      <c r="G37" s="57">
        <f>抽奖道具礼包7</f>
        <v>0</v>
      </c>
      <c r="H37" s="12">
        <v>0</v>
      </c>
      <c r="I37" s="57">
        <f>抽奖道具礼包7</f>
        <v>0</v>
      </c>
      <c r="J37" s="12">
        <v>0</v>
      </c>
      <c r="K37" s="57">
        <f>抽奖道具礼包7</f>
        <v>0</v>
      </c>
      <c r="L37" s="12">
        <v>0</v>
      </c>
      <c r="M37" s="57">
        <f>抽奖道具礼包7</f>
        <v>0</v>
      </c>
      <c r="N37" s="12">
        <v>0</v>
      </c>
      <c r="O37" s="57">
        <f>抽奖道具礼包7</f>
        <v>0</v>
      </c>
      <c r="P37" s="12">
        <v>0</v>
      </c>
      <c r="R37" s="127"/>
    </row>
    <row r="38" spans="2:18" ht="16.8" thickTop="1" thickBot="1">
      <c r="B38" s="39" t="s">
        <v>185</v>
      </c>
      <c r="C38" s="55" t="str">
        <f>高级兑换道具</f>
        <v>月华糕</v>
      </c>
      <c r="D38" s="56" t="s">
        <v>96</v>
      </c>
      <c r="E38" s="55" t="str">
        <f>高级兑换道具</f>
        <v>月华糕</v>
      </c>
      <c r="F38" s="56" t="s">
        <v>96</v>
      </c>
      <c r="G38" s="55" t="str">
        <f>高级兑换道具</f>
        <v>月华糕</v>
      </c>
      <c r="H38" s="56" t="s">
        <v>96</v>
      </c>
      <c r="I38" s="55" t="str">
        <f>高级兑换道具</f>
        <v>月华糕</v>
      </c>
      <c r="J38" s="56" t="s">
        <v>96</v>
      </c>
      <c r="K38" s="55" t="str">
        <f>高级兑换道具</f>
        <v>月华糕</v>
      </c>
      <c r="L38" s="56" t="s">
        <v>96</v>
      </c>
      <c r="M38" s="55" t="str">
        <f>高级兑换道具</f>
        <v>月华糕</v>
      </c>
      <c r="N38" s="56" t="s">
        <v>96</v>
      </c>
      <c r="O38" s="55" t="str">
        <f>高级兑换道具</f>
        <v>月华糕</v>
      </c>
      <c r="P38" s="56" t="s">
        <v>96</v>
      </c>
      <c r="R38" s="127"/>
    </row>
    <row r="39" spans="2:18" ht="16.2" customHeight="1" thickTop="1">
      <c r="B39" s="91" t="str">
        <f>高级兑换道具 &amp; "礼包Ⅰ"</f>
        <v>月华糕礼包Ⅰ</v>
      </c>
      <c r="C39" s="18">
        <f>高级兑换道具礼包1</f>
        <v>2</v>
      </c>
      <c r="D39" s="32">
        <v>0</v>
      </c>
      <c r="E39" s="18">
        <f>高级兑换道具礼包1</f>
        <v>2</v>
      </c>
      <c r="F39" s="32">
        <v>0</v>
      </c>
      <c r="G39" s="18">
        <f>高级兑换道具礼包1</f>
        <v>2</v>
      </c>
      <c r="H39" s="32">
        <v>0</v>
      </c>
      <c r="I39" s="18">
        <f>高级兑换道具礼包1</f>
        <v>2</v>
      </c>
      <c r="J39" s="32">
        <v>0</v>
      </c>
      <c r="K39" s="18">
        <f>高级兑换道具礼包1</f>
        <v>2</v>
      </c>
      <c r="L39" s="32">
        <v>0</v>
      </c>
      <c r="M39" s="18">
        <f>高级兑换道具礼包1</f>
        <v>2</v>
      </c>
      <c r="N39" s="32">
        <v>0</v>
      </c>
      <c r="O39" s="18">
        <f>高级兑换道具礼包1</f>
        <v>2</v>
      </c>
      <c r="P39" s="32">
        <v>0</v>
      </c>
      <c r="R39" s="127"/>
    </row>
    <row r="40" spans="2:18">
      <c r="B40" s="92" t="str">
        <f>高级兑换道具 &amp; "礼包Ⅱ"</f>
        <v>月华糕礼包Ⅱ</v>
      </c>
      <c r="C40" s="39">
        <f>高级兑换道具礼包2</f>
        <v>4</v>
      </c>
      <c r="D40" s="4">
        <v>0</v>
      </c>
      <c r="E40" s="39">
        <f>高级兑换道具礼包2</f>
        <v>4</v>
      </c>
      <c r="F40" s="4">
        <v>0</v>
      </c>
      <c r="G40" s="39">
        <f>高级兑换道具礼包2</f>
        <v>4</v>
      </c>
      <c r="H40" s="4">
        <v>0</v>
      </c>
      <c r="I40" s="39">
        <f>高级兑换道具礼包2</f>
        <v>4</v>
      </c>
      <c r="J40" s="4">
        <v>0</v>
      </c>
      <c r="K40" s="39">
        <f>高级兑换道具礼包2</f>
        <v>4</v>
      </c>
      <c r="L40" s="4">
        <v>0</v>
      </c>
      <c r="M40" s="39">
        <f>高级兑换道具礼包2</f>
        <v>4</v>
      </c>
      <c r="N40" s="4">
        <v>0</v>
      </c>
      <c r="O40" s="39">
        <f>高级兑换道具礼包2</f>
        <v>4</v>
      </c>
      <c r="P40" s="4">
        <v>0</v>
      </c>
      <c r="R40" s="127"/>
    </row>
    <row r="41" spans="2:18">
      <c r="B41" s="92" t="str">
        <f>高级兑换道具 &amp; "礼包Ⅲ"</f>
        <v>月华糕礼包Ⅲ</v>
      </c>
      <c r="C41" s="39">
        <f>高级兑换道具礼包3</f>
        <v>10</v>
      </c>
      <c r="D41" s="4">
        <v>0</v>
      </c>
      <c r="E41" s="39">
        <f>高级兑换道具礼包3</f>
        <v>10</v>
      </c>
      <c r="F41" s="4">
        <v>0</v>
      </c>
      <c r="G41" s="39">
        <f>高级兑换道具礼包3</f>
        <v>10</v>
      </c>
      <c r="H41" s="4">
        <v>0</v>
      </c>
      <c r="I41" s="39">
        <f>高级兑换道具礼包3</f>
        <v>10</v>
      </c>
      <c r="J41" s="4">
        <v>0</v>
      </c>
      <c r="K41" s="39">
        <f>高级兑换道具礼包3</f>
        <v>10</v>
      </c>
      <c r="L41" s="4">
        <v>0</v>
      </c>
      <c r="M41" s="39">
        <f>高级兑换道具礼包3</f>
        <v>10</v>
      </c>
      <c r="N41" s="4">
        <v>0</v>
      </c>
      <c r="O41" s="39">
        <f>高级兑换道具礼包3</f>
        <v>10</v>
      </c>
      <c r="P41" s="4">
        <v>0</v>
      </c>
      <c r="R41" s="127"/>
    </row>
    <row r="42" spans="2:18" ht="16.2" thickBot="1">
      <c r="B42" s="93" t="str">
        <f>高级兑换道具 &amp; "礼包Ⅳ"</f>
        <v>月华糕礼包Ⅳ</v>
      </c>
      <c r="C42" s="57">
        <f>高级兑换道具礼包4</f>
        <v>20</v>
      </c>
      <c r="D42" s="12">
        <v>0</v>
      </c>
      <c r="E42" s="57">
        <f>高级兑换道具礼包4</f>
        <v>20</v>
      </c>
      <c r="F42" s="12">
        <v>0</v>
      </c>
      <c r="G42" s="57">
        <f>高级兑换道具礼包4</f>
        <v>20</v>
      </c>
      <c r="H42" s="12">
        <v>0</v>
      </c>
      <c r="I42" s="57">
        <f>高级兑换道具礼包4</f>
        <v>20</v>
      </c>
      <c r="J42" s="12">
        <v>0</v>
      </c>
      <c r="K42" s="57">
        <f>高级兑换道具礼包4</f>
        <v>20</v>
      </c>
      <c r="L42" s="12">
        <v>0</v>
      </c>
      <c r="M42" s="57">
        <f>高级兑换道具礼包4</f>
        <v>20</v>
      </c>
      <c r="N42" s="12">
        <v>0</v>
      </c>
      <c r="O42" s="57">
        <f>高级兑换道具礼包4</f>
        <v>20</v>
      </c>
      <c r="P42" s="12">
        <v>0</v>
      </c>
      <c r="R42" s="127"/>
    </row>
    <row r="43" spans="2:18" ht="16.8" thickTop="1" thickBot="1">
      <c r="B43" s="129" t="s">
        <v>149</v>
      </c>
      <c r="C43" s="57" t="s">
        <v>152</v>
      </c>
      <c r="D43" s="12">
        <v>0</v>
      </c>
      <c r="E43" s="57" t="s">
        <v>152</v>
      </c>
      <c r="F43" s="12">
        <v>0</v>
      </c>
      <c r="G43" s="57" t="s">
        <v>152</v>
      </c>
      <c r="H43" s="12">
        <v>0</v>
      </c>
      <c r="I43" s="57" t="s">
        <v>152</v>
      </c>
      <c r="J43" s="12">
        <v>0</v>
      </c>
      <c r="K43" s="57" t="s">
        <v>152</v>
      </c>
      <c r="L43" s="12">
        <v>0</v>
      </c>
      <c r="M43" s="57" t="s">
        <v>152</v>
      </c>
      <c r="N43" s="12">
        <v>0</v>
      </c>
      <c r="O43" s="57" t="s">
        <v>152</v>
      </c>
      <c r="P43" s="12">
        <v>1</v>
      </c>
      <c r="R43" s="127"/>
    </row>
    <row r="44" spans="2:18" ht="16.8" thickTop="1" thickBot="1">
      <c r="B44" s="130"/>
      <c r="C44" s="67" t="s">
        <v>151</v>
      </c>
      <c r="D44" s="68">
        <v>0</v>
      </c>
      <c r="E44" s="67" t="s">
        <v>151</v>
      </c>
      <c r="F44" s="68">
        <v>0</v>
      </c>
      <c r="G44" s="67" t="s">
        <v>151</v>
      </c>
      <c r="H44" s="68">
        <v>0</v>
      </c>
      <c r="I44" s="67" t="s">
        <v>151</v>
      </c>
      <c r="J44" s="68">
        <v>0</v>
      </c>
      <c r="K44" s="67" t="s">
        <v>151</v>
      </c>
      <c r="L44" s="68">
        <v>0</v>
      </c>
      <c r="M44" s="67" t="s">
        <v>151</v>
      </c>
      <c r="N44" s="68">
        <v>0</v>
      </c>
      <c r="O44" s="67" t="s">
        <v>151</v>
      </c>
      <c r="P44" s="68">
        <v>0</v>
      </c>
      <c r="R44" s="128"/>
    </row>
    <row r="45" spans="2:18" ht="23.4" customHeight="1" thickTop="1" thickBot="1">
      <c r="B45" s="96" t="s">
        <v>155</v>
      </c>
      <c r="C45" s="131"/>
      <c r="D45" s="132"/>
      <c r="E45" s="133"/>
      <c r="F45" s="132"/>
      <c r="G45" s="133"/>
      <c r="H45" s="132"/>
      <c r="I45" s="133"/>
      <c r="J45" s="132"/>
      <c r="K45" s="133"/>
      <c r="L45" s="132"/>
      <c r="M45" s="133"/>
      <c r="N45" s="132"/>
      <c r="O45" s="133" t="s">
        <v>161</v>
      </c>
      <c r="P45" s="132"/>
      <c r="R45" s="98" t="s">
        <v>180</v>
      </c>
    </row>
    <row r="46" spans="2:18" ht="30" customHeight="1" thickTop="1">
      <c r="B46" s="94" t="s">
        <v>156</v>
      </c>
      <c r="C46" s="137" t="s">
        <v>162</v>
      </c>
      <c r="D46" s="135"/>
      <c r="E46" s="137" t="s">
        <v>162</v>
      </c>
      <c r="F46" s="135"/>
      <c r="G46" s="137" t="s">
        <v>162</v>
      </c>
      <c r="H46" s="135"/>
      <c r="I46" s="137" t="s">
        <v>162</v>
      </c>
      <c r="J46" s="135"/>
      <c r="K46" s="137" t="s">
        <v>162</v>
      </c>
      <c r="L46" s="135"/>
      <c r="M46" s="137" t="s">
        <v>162</v>
      </c>
      <c r="N46" s="135"/>
      <c r="O46" s="137" t="s">
        <v>162</v>
      </c>
      <c r="P46" s="135"/>
      <c r="R46" s="126" t="s">
        <v>181</v>
      </c>
    </row>
    <row r="47" spans="2:18" ht="30" customHeight="1">
      <c r="B47" s="94" t="s">
        <v>157</v>
      </c>
      <c r="C47" s="136" t="s">
        <v>163</v>
      </c>
      <c r="D47" s="105"/>
      <c r="E47" s="136" t="s">
        <v>163</v>
      </c>
      <c r="F47" s="105"/>
      <c r="G47" s="136" t="s">
        <v>163</v>
      </c>
      <c r="H47" s="105"/>
      <c r="I47" s="136" t="s">
        <v>163</v>
      </c>
      <c r="J47" s="105"/>
      <c r="K47" s="136" t="s">
        <v>163</v>
      </c>
      <c r="L47" s="105"/>
      <c r="M47" s="136" t="s">
        <v>163</v>
      </c>
      <c r="N47" s="105"/>
      <c r="O47" s="136" t="s">
        <v>163</v>
      </c>
      <c r="P47" s="105"/>
      <c r="R47" s="127"/>
    </row>
    <row r="48" spans="2:18" ht="30" customHeight="1">
      <c r="B48" s="94" t="s">
        <v>158</v>
      </c>
      <c r="C48" s="137" t="s">
        <v>164</v>
      </c>
      <c r="D48" s="135"/>
      <c r="E48" s="137" t="s">
        <v>164</v>
      </c>
      <c r="F48" s="135"/>
      <c r="G48" s="137" t="s">
        <v>164</v>
      </c>
      <c r="H48" s="135"/>
      <c r="I48" s="137" t="s">
        <v>164</v>
      </c>
      <c r="J48" s="135"/>
      <c r="K48" s="137" t="s">
        <v>164</v>
      </c>
      <c r="L48" s="135"/>
      <c r="M48" s="137" t="s">
        <v>164</v>
      </c>
      <c r="N48" s="135"/>
      <c r="O48" s="137" t="s">
        <v>165</v>
      </c>
      <c r="P48" s="135"/>
      <c r="R48" s="127"/>
    </row>
    <row r="49" spans="2:19" ht="30" customHeight="1">
      <c r="B49" s="94" t="s">
        <v>159</v>
      </c>
      <c r="C49" s="137"/>
      <c r="D49" s="135"/>
      <c r="E49" s="137"/>
      <c r="F49" s="135"/>
      <c r="G49" s="137"/>
      <c r="H49" s="135"/>
      <c r="I49" s="137"/>
      <c r="J49" s="135"/>
      <c r="K49" s="137"/>
      <c r="L49" s="135"/>
      <c r="M49" s="137"/>
      <c r="N49" s="135"/>
      <c r="O49" s="137" t="s">
        <v>166</v>
      </c>
      <c r="P49" s="135"/>
      <c r="R49" s="127"/>
    </row>
    <row r="50" spans="2:19" ht="30" customHeight="1" thickBot="1">
      <c r="B50" s="97" t="s">
        <v>160</v>
      </c>
      <c r="C50" s="137"/>
      <c r="D50" s="135"/>
      <c r="E50" s="137"/>
      <c r="F50" s="135"/>
      <c r="G50" s="137"/>
      <c r="H50" s="135"/>
      <c r="I50" s="137"/>
      <c r="J50" s="135"/>
      <c r="K50" s="137"/>
      <c r="L50" s="135"/>
      <c r="M50" s="137"/>
      <c r="N50" s="135"/>
      <c r="O50" s="137" t="s">
        <v>178</v>
      </c>
      <c r="P50" s="135"/>
      <c r="Q50" s="23"/>
      <c r="R50" s="128"/>
      <c r="S50" s="23"/>
    </row>
    <row r="51" spans="2:19" ht="17.399999999999999" thickTop="1" thickBot="1">
      <c r="B51" s="139" t="s">
        <v>34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76"/>
      <c r="R51" s="6"/>
      <c r="S51" s="6"/>
    </row>
    <row r="52" spans="2:19" ht="19.95" customHeight="1" thickTop="1" thickBot="1">
      <c r="B52" s="143" t="s">
        <v>167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R52" s="126" t="s">
        <v>182</v>
      </c>
      <c r="S52" s="6"/>
    </row>
    <row r="53" spans="2:19" ht="19.95" customHeight="1" thickTop="1" thickBot="1">
      <c r="B53" s="143" t="s">
        <v>168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R53" s="127"/>
      <c r="S53" s="6"/>
    </row>
    <row r="54" spans="2:19" ht="19.95" customHeight="1" thickTop="1" thickBot="1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5"/>
      <c r="R54" s="127"/>
      <c r="S54" s="6"/>
    </row>
    <row r="55" spans="2:19" ht="19.95" customHeight="1" thickTop="1" thickBot="1">
      <c r="B55" s="14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5"/>
      <c r="R55" s="128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95"/>
      <c r="C57" s="95"/>
      <c r="D57" s="95"/>
      <c r="K57" s="138"/>
      <c r="L57" s="138"/>
      <c r="M57" s="138"/>
      <c r="N57" s="138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95"/>
      <c r="C61" s="95"/>
      <c r="D61" s="95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B53:P53"/>
    <mergeCell ref="B54:P54"/>
    <mergeCell ref="B55:P55"/>
    <mergeCell ref="R31:R44"/>
    <mergeCell ref="R46:R50"/>
    <mergeCell ref="R52:R55"/>
    <mergeCell ref="K45:L45"/>
    <mergeCell ref="K46:L46"/>
    <mergeCell ref="K47:L47"/>
    <mergeCell ref="K48:L48"/>
    <mergeCell ref="K49:L49"/>
    <mergeCell ref="K50:L50"/>
    <mergeCell ref="I45:J45"/>
    <mergeCell ref="I46:J46"/>
    <mergeCell ref="I47:J47"/>
    <mergeCell ref="I48:J48"/>
    <mergeCell ref="B2:P2"/>
    <mergeCell ref="B51:P51"/>
    <mergeCell ref="B52:P52"/>
    <mergeCell ref="M50:N50"/>
    <mergeCell ref="O45:P45"/>
    <mergeCell ref="O46:P46"/>
    <mergeCell ref="O47:P47"/>
    <mergeCell ref="O48:P48"/>
    <mergeCell ref="O49:P49"/>
    <mergeCell ref="O50:P50"/>
    <mergeCell ref="M45:N45"/>
    <mergeCell ref="M46:N46"/>
    <mergeCell ref="M47:N47"/>
    <mergeCell ref="M48:N48"/>
    <mergeCell ref="M49:N49"/>
    <mergeCell ref="I50:J50"/>
    <mergeCell ref="G46:H46"/>
    <mergeCell ref="G47:H47"/>
    <mergeCell ref="G48:H48"/>
    <mergeCell ref="G49:H49"/>
    <mergeCell ref="G50:H50"/>
    <mergeCell ref="K57:N57"/>
    <mergeCell ref="B43:B44"/>
    <mergeCell ref="C46:D46"/>
    <mergeCell ref="C45:D45"/>
    <mergeCell ref="C47:D47"/>
    <mergeCell ref="C48:D48"/>
    <mergeCell ref="C49:D49"/>
    <mergeCell ref="C50:D50"/>
    <mergeCell ref="E45:F45"/>
    <mergeCell ref="E46:F46"/>
    <mergeCell ref="E47:F47"/>
    <mergeCell ref="E48:F48"/>
    <mergeCell ref="I49:J49"/>
    <mergeCell ref="E49:F49"/>
    <mergeCell ref="E50:F50"/>
    <mergeCell ref="G45:H45"/>
    <mergeCell ref="C5:P5"/>
    <mergeCell ref="B3:B4"/>
    <mergeCell ref="C4:P4"/>
    <mergeCell ref="I3:L3"/>
    <mergeCell ref="M3:P3"/>
    <mergeCell ref="C3:H3"/>
    <mergeCell ref="O6:P6"/>
    <mergeCell ref="I6:J6"/>
    <mergeCell ref="K6:L6"/>
    <mergeCell ref="M6:N6"/>
    <mergeCell ref="C6:D6"/>
    <mergeCell ref="E6:F6"/>
    <mergeCell ref="G6:H6"/>
  </mergeCells>
  <phoneticPr fontId="7" type="noConversion"/>
  <conditionalFormatting sqref="B10:P10">
    <cfRule type="cellIs" dxfId="59" priority="9" operator="greaterThan">
      <formula>0</formula>
    </cfRule>
  </conditionalFormatting>
  <conditionalFormatting sqref="B13:P13">
    <cfRule type="cellIs" dxfId="58" priority="3" operator="greaterThan">
      <formula>0</formula>
    </cfRule>
  </conditionalFormatting>
  <conditionalFormatting sqref="B14:P14">
    <cfRule type="cellIs" dxfId="57" priority="6" operator="greaterThan">
      <formula>0</formula>
    </cfRule>
  </conditionalFormatting>
  <conditionalFormatting sqref="C11:P11">
    <cfRule type="cellIs" dxfId="56" priority="7" operator="greaterThan">
      <formula>0</formula>
    </cfRule>
  </conditionalFormatting>
  <conditionalFormatting sqref="C15:P15 D31:D37 F31:F37 H31:H37 J31:J37 L31:L37 N31:N37 P31:P37">
    <cfRule type="cellIs" dxfId="55" priority="5" operator="greaterThan">
      <formula>0</formula>
    </cfRule>
  </conditionalFormatting>
  <conditionalFormatting sqref="C15:P16">
    <cfRule type="cellIs" dxfId="54" priority="8" operator="greaterThan">
      <formula>0</formula>
    </cfRule>
  </conditionalFormatting>
  <conditionalFormatting sqref="C17:P17">
    <cfRule type="cellIs" dxfId="53" priority="14" operator="greaterThan">
      <formula>0</formula>
    </cfRule>
  </conditionalFormatting>
  <conditionalFormatting sqref="C19:P19">
    <cfRule type="cellIs" dxfId="52" priority="11" operator="greaterThan">
      <formula>0</formula>
    </cfRule>
  </conditionalFormatting>
  <conditionalFormatting sqref="C21:P21">
    <cfRule type="cellIs" dxfId="51" priority="13" operator="greaterThan">
      <formula>0</formula>
    </cfRule>
  </conditionalFormatting>
  <conditionalFormatting sqref="C22:P22 D39:D42 F39:F42 H39:H42 J39:J42 L39:L42 N39:N42 P39:P42">
    <cfRule type="cellIs" dxfId="50" priority="4" operator="greaterThan">
      <formula>0</formula>
    </cfRule>
  </conditionalFormatting>
  <conditionalFormatting sqref="D43 F43 H43 J43 L43 N43 P43">
    <cfRule type="cellIs" dxfId="49" priority="1" operator="greaterThan">
      <formula>0</formula>
    </cfRule>
  </conditionalFormatting>
  <conditionalFormatting sqref="D44 F44 H44 J44 L44 N44 P44">
    <cfRule type="cellIs" dxfId="48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9E79-9121-473E-87E5-3928ABC34FF4}">
  <dimension ref="B1:T81"/>
  <sheetViews>
    <sheetView zoomScaleNormal="100" workbookViewId="0">
      <selection activeCell="I24" sqref="I24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170</v>
      </c>
      <c r="S1" s="1" t="s">
        <v>184</v>
      </c>
    </row>
    <row r="2" spans="2:20" ht="28.2" customHeight="1" thickTop="1" thickBot="1">
      <c r="B2" s="106" t="s">
        <v>189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8"/>
      <c r="R2" s="98" t="s">
        <v>169</v>
      </c>
    </row>
    <row r="3" spans="2:20" ht="24" thickTop="1">
      <c r="B3" s="109" t="s">
        <v>94</v>
      </c>
      <c r="C3" s="111" t="str">
        <f>SUM(C10,E10,G10,I10,K10,M10,O10)*钻石购买 &amp;"钻石"</f>
        <v>49000钻石</v>
      </c>
      <c r="D3" s="112"/>
      <c r="E3" s="112"/>
      <c r="F3" s="112"/>
      <c r="G3" s="112"/>
      <c r="H3" s="112"/>
      <c r="I3" s="113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296元</v>
      </c>
      <c r="J3" s="113"/>
      <c r="K3" s="113"/>
      <c r="L3" s="113"/>
      <c r="M3" s="114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4500翡翠</v>
      </c>
      <c r="N3" s="114"/>
      <c r="O3" s="114"/>
      <c r="P3" s="115"/>
    </row>
    <row r="4" spans="2:20" ht="21" thickBot="1">
      <c r="B4" s="110"/>
      <c r="C4" s="116" t="str">
        <f>"最终收益："&amp;ROUNDDOWN(O29,0)&amp;B29&amp;"+"&amp;ROUNDDOWN(O28,0)&amp;B28</f>
        <v>最终收益：49月华糕+1468桂香糕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2:20" ht="21.6" thickTop="1" thickBot="1">
      <c r="B5" s="30" t="s">
        <v>153</v>
      </c>
      <c r="C5" s="119" t="s">
        <v>187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98" t="s">
        <v>153</v>
      </c>
    </row>
    <row r="6" spans="2:20" ht="16.8" thickTop="1" thickBot="1">
      <c r="B6" s="66" t="s">
        <v>93</v>
      </c>
      <c r="C6" s="122" t="s">
        <v>24</v>
      </c>
      <c r="D6" s="123"/>
      <c r="E6" s="122" t="s">
        <v>25</v>
      </c>
      <c r="F6" s="123"/>
      <c r="G6" s="122" t="s">
        <v>26</v>
      </c>
      <c r="H6" s="123"/>
      <c r="I6" s="122" t="s">
        <v>27</v>
      </c>
      <c r="J6" s="123"/>
      <c r="K6" s="122" t="s">
        <v>28</v>
      </c>
      <c r="L6" s="123"/>
      <c r="M6" s="122" t="s">
        <v>29</v>
      </c>
      <c r="N6" s="123"/>
      <c r="O6" s="122" t="s">
        <v>30</v>
      </c>
      <c r="P6" s="123"/>
      <c r="R6" s="6"/>
      <c r="S6" s="23"/>
      <c r="T6" s="23"/>
    </row>
    <row r="7" spans="2:20" ht="16.8" thickTop="1" thickBot="1">
      <c r="B7" s="13" t="s">
        <v>95</v>
      </c>
      <c r="C7" s="67" t="str">
        <f>抽奖道具</f>
        <v>随机骰子</v>
      </c>
      <c r="D7" s="68" t="s">
        <v>6</v>
      </c>
      <c r="E7" s="67" t="str">
        <f>抽奖道具</f>
        <v>随机骰子</v>
      </c>
      <c r="F7" s="68" t="s">
        <v>6</v>
      </c>
      <c r="G7" s="67" t="str">
        <f>抽奖道具</f>
        <v>随机骰子</v>
      </c>
      <c r="H7" s="68" t="s">
        <v>6</v>
      </c>
      <c r="I7" s="67" t="str">
        <f>抽奖道具</f>
        <v>随机骰子</v>
      </c>
      <c r="J7" s="68" t="s">
        <v>6</v>
      </c>
      <c r="K7" s="67" t="str">
        <f>抽奖道具</f>
        <v>随机骰子</v>
      </c>
      <c r="L7" s="68" t="s">
        <v>6</v>
      </c>
      <c r="M7" s="67" t="str">
        <f>抽奖道具</f>
        <v>随机骰子</v>
      </c>
      <c r="N7" s="68" t="s">
        <v>6</v>
      </c>
      <c r="O7" s="67" t="str">
        <f>抽奖道具</f>
        <v>随机骰子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0</v>
      </c>
      <c r="D8" s="4">
        <f t="shared" ref="D8:P16" si="0">C8*积分规则1</f>
        <v>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30</v>
      </c>
      <c r="D9" s="4">
        <f t="shared" si="0"/>
        <v>60</v>
      </c>
      <c r="E9" s="3">
        <f>每日任务抽奖道具数量</f>
        <v>30</v>
      </c>
      <c r="F9" s="4">
        <f t="shared" si="1"/>
        <v>60</v>
      </c>
      <c r="G9" s="3">
        <f>每日任务抽奖道具数量</f>
        <v>30</v>
      </c>
      <c r="H9" s="4">
        <f t="shared" si="2"/>
        <v>60</v>
      </c>
      <c r="I9" s="3">
        <f>每日任务抽奖道具数量</f>
        <v>30</v>
      </c>
      <c r="J9" s="4">
        <f t="shared" si="3"/>
        <v>60</v>
      </c>
      <c r="K9" s="3">
        <f>每日任务抽奖道具数量</f>
        <v>30</v>
      </c>
      <c r="L9" s="4">
        <f t="shared" si="4"/>
        <v>60</v>
      </c>
      <c r="M9" s="3">
        <f>每日任务抽奖道具数量</f>
        <v>30</v>
      </c>
      <c r="N9" s="4">
        <f t="shared" si="5"/>
        <v>60</v>
      </c>
      <c r="O9" s="3">
        <f>每日任务抽奖道具数量</f>
        <v>30</v>
      </c>
      <c r="P9" s="4">
        <f t="shared" si="6"/>
        <v>60</v>
      </c>
    </row>
    <row r="10" spans="2:20" ht="16.8" thickTop="1" thickBot="1">
      <c r="B10" s="14" t="s">
        <v>17</v>
      </c>
      <c r="C10" s="3">
        <v>70</v>
      </c>
      <c r="D10" s="4">
        <f t="shared" si="0"/>
        <v>140</v>
      </c>
      <c r="E10" s="3">
        <v>70</v>
      </c>
      <c r="F10" s="4">
        <f t="shared" si="1"/>
        <v>140</v>
      </c>
      <c r="G10" s="3">
        <v>70</v>
      </c>
      <c r="H10" s="4">
        <f t="shared" si="2"/>
        <v>140</v>
      </c>
      <c r="I10" s="3">
        <v>70</v>
      </c>
      <c r="J10" s="4">
        <f t="shared" si="3"/>
        <v>140</v>
      </c>
      <c r="K10" s="3">
        <v>70</v>
      </c>
      <c r="L10" s="4">
        <f t="shared" si="4"/>
        <v>140</v>
      </c>
      <c r="M10" s="3">
        <v>70</v>
      </c>
      <c r="N10" s="4">
        <f t="shared" si="5"/>
        <v>140</v>
      </c>
      <c r="O10" s="3">
        <v>70</v>
      </c>
      <c r="P10" s="4">
        <f t="shared" si="6"/>
        <v>140</v>
      </c>
      <c r="R10" s="98" t="s">
        <v>176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75</v>
      </c>
      <c r="P11" s="4">
        <f t="shared" si="6"/>
        <v>150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2</v>
      </c>
      <c r="D13" s="4">
        <f t="shared" si="0"/>
        <v>4</v>
      </c>
      <c r="E13" s="3">
        <f>每日广告抽奖道具数量</f>
        <v>2</v>
      </c>
      <c r="F13" s="4">
        <f t="shared" si="0"/>
        <v>4</v>
      </c>
      <c r="G13" s="3">
        <f>每日广告抽奖道具数量</f>
        <v>2</v>
      </c>
      <c r="H13" s="4">
        <f t="shared" si="0"/>
        <v>4</v>
      </c>
      <c r="I13" s="3">
        <f>每日广告抽奖道具数量</f>
        <v>2</v>
      </c>
      <c r="J13" s="4">
        <f t="shared" si="0"/>
        <v>4</v>
      </c>
      <c r="K13" s="3">
        <f>每日广告抽奖道具数量</f>
        <v>2</v>
      </c>
      <c r="L13" s="4">
        <f t="shared" si="0"/>
        <v>4</v>
      </c>
      <c r="M13" s="3">
        <f>每日广告抽奖道具数量</f>
        <v>2</v>
      </c>
      <c r="N13" s="4">
        <f t="shared" si="0"/>
        <v>4</v>
      </c>
      <c r="O13" s="3">
        <f>每日广告抽奖道具数量</f>
        <v>2</v>
      </c>
      <c r="P13" s="4">
        <f t="shared" si="0"/>
        <v>4</v>
      </c>
    </row>
    <row r="14" spans="2:20" ht="16.2" thickBot="1">
      <c r="B14" s="34" t="s">
        <v>73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0</v>
      </c>
      <c r="J15" s="4">
        <f t="shared" si="3"/>
        <v>0</v>
      </c>
      <c r="K15" s="3">
        <f>SUM(L31*抽奖道具礼包1,L32*抽奖道具礼包2,L33*抽奖道具礼包3,L34*抽奖道具礼包4,L35*抽奖道具礼包5,L36*抽奖道具礼包6,L37*抽奖道具礼包7)</f>
        <v>0</v>
      </c>
      <c r="L15" s="4">
        <f t="shared" si="4"/>
        <v>0</v>
      </c>
      <c r="M15" s="3">
        <f>SUM(N31*抽奖道具礼包1,N32*抽奖道具礼包2,N33*抽奖道具礼包3,N34*抽奖道具礼包4,N35*抽奖道具礼包5,N36*抽奖道具礼包6,N37*抽奖道具礼包7)</f>
        <v>0</v>
      </c>
      <c r="N15" s="4">
        <f t="shared" si="5"/>
        <v>0</v>
      </c>
      <c r="O15" s="3">
        <f>SUM(P31*抽奖道具礼包1,P32*抽奖道具礼包2,P33*抽奖道具礼包3,P34*抽奖道具礼包4,P35*抽奖道具礼包5,P36*抽奖道具礼包6,P37*抽奖道具礼包7)</f>
        <v>120</v>
      </c>
      <c r="P15" s="4">
        <f t="shared" si="6"/>
        <v>240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140</v>
      </c>
      <c r="P16" s="4">
        <f t="shared" si="6"/>
        <v>280</v>
      </c>
    </row>
    <row r="17" spans="2:19" ht="16.8" thickTop="1" thickBot="1">
      <c r="B17" s="40" t="str">
        <f>"使用"&amp;抽奖道具</f>
        <v>使用随机骰子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0</v>
      </c>
      <c r="N17" s="4">
        <f>M17*积分规则3</f>
        <v>0</v>
      </c>
      <c r="O17" s="3">
        <v>1049</v>
      </c>
      <c r="P17" s="4">
        <f>O17*积分规则3</f>
        <v>1223.8333333333333</v>
      </c>
      <c r="R17" s="98" t="s">
        <v>175</v>
      </c>
    </row>
    <row r="18" spans="2:19" ht="16.8" thickTop="1" thickBot="1">
      <c r="B18" s="36" t="str">
        <f>"剩余"&amp;抽奖道具</f>
        <v>剩余随机骰子</v>
      </c>
      <c r="C18" s="3">
        <f>C26-C17</f>
        <v>102</v>
      </c>
      <c r="D18" s="87">
        <f>C18*积分规则3</f>
        <v>118.99999999999999</v>
      </c>
      <c r="E18" s="3">
        <f>C18+SUM(E8:E16)-E17</f>
        <v>204</v>
      </c>
      <c r="F18" s="87">
        <f>E18*积分规则3</f>
        <v>237.99999999999997</v>
      </c>
      <c r="G18" s="3">
        <f>E18+SUM(G8:G16)-G17</f>
        <v>306</v>
      </c>
      <c r="H18" s="87">
        <f>G18*积分规则3</f>
        <v>356.99999999999994</v>
      </c>
      <c r="I18" s="3">
        <f>G18+SUM(I8:I16)-I17</f>
        <v>408</v>
      </c>
      <c r="J18" s="87">
        <f>I18*积分规则3</f>
        <v>475.99999999999994</v>
      </c>
      <c r="K18" s="3">
        <f>I18+SUM(K8:K16)-K17</f>
        <v>510</v>
      </c>
      <c r="L18" s="87">
        <f>K18*积分规则3</f>
        <v>594.99999999999989</v>
      </c>
      <c r="M18" s="3">
        <f>K18+SUM(M8:M16)-M17</f>
        <v>612</v>
      </c>
      <c r="N18" s="87">
        <f>M18*积分规则3</f>
        <v>713.99999999999989</v>
      </c>
      <c r="O18" s="3">
        <f>M18+SUM(O8:O16)-O17</f>
        <v>0</v>
      </c>
      <c r="P18" s="87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47</v>
      </c>
      <c r="P19" s="4">
        <f>O19*随机箱积分</f>
        <v>0</v>
      </c>
      <c r="R19" s="98" t="s">
        <v>177</v>
      </c>
      <c r="S19" s="26"/>
    </row>
    <row r="20" spans="2:19" ht="16.8" thickTop="1" thickBot="1">
      <c r="B20" s="36" t="s">
        <v>33</v>
      </c>
      <c r="C20" s="3">
        <f>C27-SUM(C19)+D44*氪金基金随机箱</f>
        <v>1</v>
      </c>
      <c r="D20" s="4">
        <f>C20*随机箱积分</f>
        <v>0</v>
      </c>
      <c r="E20" s="3">
        <f>E27-SUM(C19,E19)+F44*氪金基金随机箱</f>
        <v>2</v>
      </c>
      <c r="F20" s="4">
        <f>E20*随机箱积分</f>
        <v>0</v>
      </c>
      <c r="G20" s="3">
        <f>G27-SUM(C19,E19,G19)+H44*氪金基金随机箱</f>
        <v>3</v>
      </c>
      <c r="H20" s="4">
        <f>G20*随机箱积分</f>
        <v>0</v>
      </c>
      <c r="I20" s="3">
        <f>I27-SUM(C19,E19,G19,I19)+J44*氪金基金随机箱</f>
        <v>4</v>
      </c>
      <c r="J20" s="4">
        <f>I20*随机箱积分</f>
        <v>0</v>
      </c>
      <c r="K20" s="3">
        <f>K27-SUM(C19,E19,G19,I19,K19)+L44*氪金基金随机箱</f>
        <v>5</v>
      </c>
      <c r="L20" s="4">
        <f>K20*随机箱积分</f>
        <v>0</v>
      </c>
      <c r="M20" s="3">
        <f>M27-SUM(C19,E19,G19,I19,K19,M19)+N44*氪金基金随机箱</f>
        <v>6</v>
      </c>
      <c r="N20" s="4">
        <f>M20*随机箱积分</f>
        <v>0</v>
      </c>
      <c r="O20" s="3">
        <f>O27-SUM(C19,E19,G19,I19,K19,M19,O19)+P44*氪金基金随机箱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兑换月华糕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8" t="s">
        <v>179</v>
      </c>
    </row>
    <row r="22" spans="2:19" ht="16.2" thickTop="1">
      <c r="B22" s="70" t="str">
        <f xml:space="preserve"> "氪金"&amp;高级兑换道具</f>
        <v>氪金月华糕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0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98</v>
      </c>
      <c r="C24" s="42" t="str">
        <f>IFERROR(LOOKUP(D24,档位积分1:档位积分5,第1档:第5档),"无奖励")</f>
        <v>第1档</v>
      </c>
      <c r="D24" s="43">
        <f>SUM(D8:D17)+D19+SUM(D21:D23)</f>
        <v>204</v>
      </c>
      <c r="E24" s="44" t="str">
        <f>IFERROR(LOOKUP(F24,档位积分1:档位积分5,第1档:第5档),"无奖励")</f>
        <v>第1档</v>
      </c>
      <c r="F24" s="43">
        <f>SUM(F8:F17)+F19+SUM(F21:F23)</f>
        <v>204</v>
      </c>
      <c r="G24" s="44" t="str">
        <f>IFERROR(LOOKUP(H24,档位积分1:档位积分5,第1档:第5档),"无奖励")</f>
        <v>第1档</v>
      </c>
      <c r="H24" s="43">
        <f>SUM(H8:H17)+H19+SUM(H21:H23)</f>
        <v>204</v>
      </c>
      <c r="I24" s="44" t="str">
        <f>IFERROR(LOOKUP(J24,档位积分1:档位积分5,第1档:第5档),"无奖励")</f>
        <v>第1档</v>
      </c>
      <c r="J24" s="43">
        <f>SUM(J8:J17)+J19+SUM(J21:J23)</f>
        <v>204</v>
      </c>
      <c r="K24" s="44" t="str">
        <f>IFERROR(LOOKUP(L24,档位积分1:档位积分5,第1档:第5档),"无奖励")</f>
        <v>第1档</v>
      </c>
      <c r="L24" s="43">
        <f>SUM(L8:L17)+L19+SUM(L21:L23)</f>
        <v>204</v>
      </c>
      <c r="M24" s="44" t="str">
        <f>IFERROR(LOOKUP(N24,档位积分1:档位积分5,第1档:第5档),"无奖励")</f>
        <v>第1档</v>
      </c>
      <c r="N24" s="43">
        <f>SUM(N8:N17)+N19+SUM(N21:N23)</f>
        <v>204</v>
      </c>
      <c r="O24" s="44" t="str">
        <f>IFERROR(LOOKUP(P24,档位积分1:档位积分5,第1档:第5档),"无奖励")</f>
        <v>第5档</v>
      </c>
      <c r="P24" s="43">
        <f>SUM(P8:P17)+P19+SUM(P21:P23)</f>
        <v>2097.833333333333</v>
      </c>
    </row>
    <row r="25" spans="2:19" ht="16.8" thickTop="1" thickBot="1">
      <c r="B25" s="13" t="s">
        <v>99</v>
      </c>
      <c r="C25" s="85">
        <f>D24-IF(C24="无奖励", "",
   INDEX(档位积分1:档位积分5, MATCH(D24, 档位积分1:档位积分5, 1)))</f>
        <v>114</v>
      </c>
      <c r="D25" s="86">
        <f>IF(D24&gt;=MAX(档位积分1:档位积分5), "",
   IF(D24&lt;MIN(档位积分1:档位积分5), MIN(档位积分1:档位积分5),
      INDEX(档位积分1:档位积分5, MATCH(D24, 档位积分1:档位积分5, 1)+1)-D24))</f>
        <v>96</v>
      </c>
      <c r="E25" s="85">
        <f>F24-IF(E24="无奖励", "",
   INDEX(档位积分1:档位积分5, MATCH(F24, 档位积分1:档位积分5, 1)))</f>
        <v>114</v>
      </c>
      <c r="F25" s="86">
        <f>IF(F24&gt;=MAX(档位积分1:档位积分5), "",
   IF(F24&lt;MIN(档位积分1:档位积分5), MIN(档位积分1:档位积分5),
      INDEX(档位积分1:档位积分5, MATCH(F24, 档位积分1:档位积分5, 1)+1)-F24))</f>
        <v>96</v>
      </c>
      <c r="G25" s="85">
        <f>H24-IF(G24="无奖励", "",
   INDEX(档位积分1:档位积分5, MATCH(H24, 档位积分1:档位积分5, 1)))</f>
        <v>114</v>
      </c>
      <c r="H25" s="86">
        <f>IF(H24&gt;=MAX(档位积分1:档位积分5), "",
   IF(H24&lt;MIN(档位积分1:档位积分5), MIN(档位积分1:档位积分5),
      INDEX(档位积分1:档位积分5, MATCH(H24, 档位积分1:档位积分5, 1)+1)-H24))</f>
        <v>96</v>
      </c>
      <c r="I25" s="85">
        <f>J24-IF(I24="无奖励", "",
   INDEX(档位积分1:档位积分5, MATCH(J24, 档位积分1:档位积分5, 1)))</f>
        <v>114</v>
      </c>
      <c r="J25" s="86">
        <f>IF(J24&gt;=MAX(档位积分1:档位积分5), "",
   IF(J24&lt;MIN(档位积分1:档位积分5), MIN(档位积分1:档位积分5),
      INDEX(档位积分1:档位积分5, MATCH(J24, 档位积分1:档位积分5, 1)+1)-J24))</f>
        <v>96</v>
      </c>
      <c r="K25" s="85">
        <f>L24-IF(K24="无奖励", "",
   INDEX(档位积分1:档位积分5, MATCH(L24, 档位积分1:档位积分5, 1)))</f>
        <v>114</v>
      </c>
      <c r="L25" s="86">
        <f>IF(L24&gt;=MAX(档位积分1:档位积分5), "",
   IF(L24&lt;MIN(档位积分1:档位积分5), MIN(档位积分1:档位积分5),
      INDEX(档位积分1:档位积分5, MATCH(L24, 档位积分1:档位积分5, 1)+1)-L24))</f>
        <v>96</v>
      </c>
      <c r="M25" s="85">
        <f>N24-IF(M24="无奖励", "",
   INDEX(档位积分1:档位积分5, MATCH(N24, 档位积分1:档位积分5, 1)))</f>
        <v>114</v>
      </c>
      <c r="N25" s="86">
        <f>IF(N24&gt;=MAX(档位积分1:档位积分5), "",
   IF(N24&lt;MIN(档位积分1:档位积分5), MIN(档位积分1:档位积分5),
      INDEX(档位积分1:档位积分5, MATCH(N24, 档位积分1:档位积分5, 1)+1)-N24))</f>
        <v>96</v>
      </c>
      <c r="O25" s="85">
        <f>P24-IF(O24="无奖励", "",
   INDEX(档位积分1:档位积分5, MATCH(P24, 档位积分1:档位积分5, 1)))</f>
        <v>45.83333333333303</v>
      </c>
      <c r="P25" s="86" t="str">
        <f>IF(P24&gt;=MAX(档位积分1:档位积分5), "",
   IF(P24&lt;MIN(档位积分1:档位积分5), MIN(档位积分1:档位积分5),
      INDEX(档位积分1:档位积分5, MATCH(P24, 档位积分1:档位积分5, 1)+1)-P24))</f>
        <v/>
      </c>
    </row>
    <row r="26" spans="2:19" ht="16.2" thickTop="1">
      <c r="B26" s="41" t="str">
        <f>"总"&amp;抽奖道具</f>
        <v>总随机骰子</v>
      </c>
      <c r="C26" s="31">
        <f>SUM(C8:C16)</f>
        <v>102</v>
      </c>
      <c r="D26" s="49">
        <f>C26*积分规则3</f>
        <v>118.99999999999999</v>
      </c>
      <c r="E26" s="31">
        <f>C26+SUM(E8:E16)</f>
        <v>204</v>
      </c>
      <c r="F26" s="49">
        <f>E26*积分规则3</f>
        <v>237.99999999999997</v>
      </c>
      <c r="G26" s="31">
        <f>E26+SUM(G8:G16)</f>
        <v>306</v>
      </c>
      <c r="H26" s="49">
        <f>G26*积分规则3</f>
        <v>356.99999999999994</v>
      </c>
      <c r="I26" s="31">
        <f>G26+SUM(I8:I16)</f>
        <v>408</v>
      </c>
      <c r="J26" s="49">
        <f>I26*积分规则3</f>
        <v>475.99999999999994</v>
      </c>
      <c r="K26" s="31">
        <f>I26+SUM(K8:K16)</f>
        <v>510</v>
      </c>
      <c r="L26" s="49">
        <f>K26*积分规则3</f>
        <v>594.99999999999989</v>
      </c>
      <c r="M26" s="31">
        <f>K26+SUM(M8:M16)</f>
        <v>612</v>
      </c>
      <c r="N26" s="49">
        <f>M26*积分规则3</f>
        <v>713.99999999999989</v>
      </c>
      <c r="O26" s="31">
        <f>M26+SUM(O8:O16)</f>
        <v>1049</v>
      </c>
      <c r="P26" s="49">
        <f>O26*积分规则3</f>
        <v>1223.8333333333333</v>
      </c>
    </row>
    <row r="27" spans="2:19" ht="16.2" thickBot="1">
      <c r="B27" s="30" t="s">
        <v>41</v>
      </c>
      <c r="C27" s="5">
        <f>IFERROR(LOOKUP(D24,档位积分1:档位积分5,档位奖励1:档位奖励5),0)</f>
        <v>1</v>
      </c>
      <c r="D27" s="12">
        <f>C27*随机箱积分</f>
        <v>0</v>
      </c>
      <c r="E27" s="5">
        <f>IFERROR(LOOKUP(F24,档位积分1:档位积分5,档位奖励1:档位奖励5),0)+C27</f>
        <v>2</v>
      </c>
      <c r="F27" s="12">
        <f>E27*随机箱积分</f>
        <v>0</v>
      </c>
      <c r="G27" s="5">
        <f>IFERROR(LOOKUP(H24,档位积分1:档位积分5,档位奖励1:档位奖励5),0)+E27</f>
        <v>3</v>
      </c>
      <c r="H27" s="12">
        <f>G27*随机箱积分</f>
        <v>0</v>
      </c>
      <c r="I27" s="5">
        <f>IFERROR(LOOKUP(J24,档位积分1:档位积分5,档位奖励1:档位奖励5),0)+G27</f>
        <v>4</v>
      </c>
      <c r="J27" s="12">
        <f>I27*随机箱积分</f>
        <v>0</v>
      </c>
      <c r="K27" s="5">
        <f>IFERROR(LOOKUP(L24,档位积分1:档位积分5,档位奖励1:档位奖励5),0)+I27</f>
        <v>5</v>
      </c>
      <c r="L27" s="12">
        <f>K27*随机箱积分</f>
        <v>0</v>
      </c>
      <c r="M27" s="5">
        <f>IFERROR(LOOKUP(N24,档位积分1:档位积分5,档位奖励1:档位奖励5),0)+K27</f>
        <v>6</v>
      </c>
      <c r="N27" s="12">
        <f>M27*随机箱积分</f>
        <v>0</v>
      </c>
      <c r="O27" s="5">
        <f>IFERROR(LOOKUP(P24,档位积分1:档位积分5,档位奖励1:档位奖励5),0)+M27</f>
        <v>47</v>
      </c>
      <c r="P27" s="12">
        <f>O27*随机箱积分</f>
        <v>0</v>
      </c>
    </row>
    <row r="28" spans="2:19" ht="16.2" thickTop="1">
      <c r="B28" s="33" t="str">
        <f>普通兑换道具</f>
        <v>桂香糕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0</v>
      </c>
      <c r="N28" s="46"/>
      <c r="O28" s="45">
        <f>O17*普通兑换道具抽奖期望+M28</f>
        <v>1468.6</v>
      </c>
      <c r="P28" s="32"/>
    </row>
    <row r="29" spans="2:19" ht="16.2" thickBot="1">
      <c r="B29" s="34" t="str">
        <f>高级兑换道具</f>
        <v>月华糕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49.396999999999998</v>
      </c>
      <c r="P29" s="12"/>
    </row>
    <row r="30" spans="2:19" ht="16.8" thickTop="1" thickBot="1">
      <c r="B30" s="41" t="s">
        <v>97</v>
      </c>
      <c r="C30" s="55" t="str">
        <f>C7</f>
        <v>随机骰子</v>
      </c>
      <c r="D30" s="56" t="s">
        <v>96</v>
      </c>
      <c r="E30" s="55" t="str">
        <f>E7</f>
        <v>随机骰子</v>
      </c>
      <c r="F30" s="56" t="s">
        <v>96</v>
      </c>
      <c r="G30" s="55" t="str">
        <f>G7</f>
        <v>随机骰子</v>
      </c>
      <c r="H30" s="56" t="s">
        <v>96</v>
      </c>
      <c r="I30" s="55" t="str">
        <f>I7</f>
        <v>随机骰子</v>
      </c>
      <c r="J30" s="56" t="s">
        <v>96</v>
      </c>
      <c r="K30" s="55" t="str">
        <f>K7</f>
        <v>随机骰子</v>
      </c>
      <c r="L30" s="56" t="s">
        <v>96</v>
      </c>
      <c r="M30" s="55" t="str">
        <f>M7</f>
        <v>随机骰子</v>
      </c>
      <c r="N30" s="56" t="s">
        <v>96</v>
      </c>
      <c r="O30" s="55" t="str">
        <f>O7</f>
        <v>随机骰子</v>
      </c>
      <c r="P30" s="56" t="s">
        <v>96</v>
      </c>
    </row>
    <row r="31" spans="2:19" ht="16.2" customHeight="1" thickTop="1">
      <c r="B31" s="59" t="str">
        <f>抽奖道具 &amp; "礼包Ⅰ"</f>
        <v>随机骰子礼包Ⅰ</v>
      </c>
      <c r="C31" s="39">
        <f>抽奖道具礼包1</f>
        <v>30</v>
      </c>
      <c r="D31" s="24">
        <v>0</v>
      </c>
      <c r="E31" s="39">
        <f>抽奖道具礼包1</f>
        <v>30</v>
      </c>
      <c r="F31" s="24">
        <v>0</v>
      </c>
      <c r="G31" s="39">
        <f>抽奖道具礼包1</f>
        <v>30</v>
      </c>
      <c r="H31" s="24">
        <v>0</v>
      </c>
      <c r="I31" s="39">
        <f>抽奖道具礼包1</f>
        <v>30</v>
      </c>
      <c r="J31" s="24">
        <v>0</v>
      </c>
      <c r="K31" s="39">
        <f>抽奖道具礼包1</f>
        <v>30</v>
      </c>
      <c r="L31" s="24">
        <v>0</v>
      </c>
      <c r="M31" s="39">
        <f>抽奖道具礼包1</f>
        <v>30</v>
      </c>
      <c r="N31" s="24">
        <v>0</v>
      </c>
      <c r="O31" s="39">
        <f>抽奖道具礼包1</f>
        <v>30</v>
      </c>
      <c r="P31" s="24">
        <v>1</v>
      </c>
      <c r="R31" s="126" t="s">
        <v>183</v>
      </c>
    </row>
    <row r="32" spans="2:19">
      <c r="B32" s="99" t="str">
        <f>抽奖道具 &amp; "礼包Ⅱ"</f>
        <v>随机骰子礼包Ⅱ</v>
      </c>
      <c r="C32" s="39">
        <f>抽奖道具礼包2</f>
        <v>45</v>
      </c>
      <c r="D32" s="24">
        <v>0</v>
      </c>
      <c r="E32" s="39">
        <f>抽奖道具礼包2</f>
        <v>45</v>
      </c>
      <c r="F32" s="24">
        <v>0</v>
      </c>
      <c r="G32" s="39">
        <f>抽奖道具礼包2</f>
        <v>45</v>
      </c>
      <c r="H32" s="24">
        <v>0</v>
      </c>
      <c r="I32" s="39">
        <f>抽奖道具礼包2</f>
        <v>45</v>
      </c>
      <c r="J32" s="24">
        <v>0</v>
      </c>
      <c r="K32" s="39">
        <f>抽奖道具礼包2</f>
        <v>45</v>
      </c>
      <c r="L32" s="24">
        <v>0</v>
      </c>
      <c r="M32" s="39">
        <f>抽奖道具礼包2</f>
        <v>45</v>
      </c>
      <c r="N32" s="24">
        <v>0</v>
      </c>
      <c r="O32" s="39">
        <f>抽奖道具礼包2</f>
        <v>45</v>
      </c>
      <c r="P32" s="24">
        <v>0</v>
      </c>
      <c r="R32" s="127"/>
    </row>
    <row r="33" spans="2:18">
      <c r="B33" s="99" t="str">
        <f>抽奖道具 &amp; "礼包Ⅲ"</f>
        <v>随机骰子礼包Ⅲ</v>
      </c>
      <c r="C33" s="39">
        <f>抽奖道具礼包3</f>
        <v>90</v>
      </c>
      <c r="D33" s="24">
        <v>0</v>
      </c>
      <c r="E33" s="39">
        <f>抽奖道具礼包3</f>
        <v>90</v>
      </c>
      <c r="F33" s="24">
        <v>0</v>
      </c>
      <c r="G33" s="39">
        <f>抽奖道具礼包3</f>
        <v>90</v>
      </c>
      <c r="H33" s="24">
        <v>0</v>
      </c>
      <c r="I33" s="39">
        <f>抽奖道具礼包3</f>
        <v>90</v>
      </c>
      <c r="J33" s="24">
        <v>0</v>
      </c>
      <c r="K33" s="39">
        <f>抽奖道具礼包3</f>
        <v>90</v>
      </c>
      <c r="L33" s="24">
        <v>0</v>
      </c>
      <c r="M33" s="39">
        <f>抽奖道具礼包3</f>
        <v>90</v>
      </c>
      <c r="N33" s="24">
        <v>0</v>
      </c>
      <c r="O33" s="39">
        <f>抽奖道具礼包3</f>
        <v>90</v>
      </c>
      <c r="P33" s="24">
        <v>1</v>
      </c>
      <c r="R33" s="127"/>
    </row>
    <row r="34" spans="2:18">
      <c r="B34" s="99" t="str">
        <f>抽奖道具 &amp; "礼包Ⅳ"</f>
        <v>随机骰子礼包Ⅳ</v>
      </c>
      <c r="C34" s="39">
        <f>抽奖道具礼包4</f>
        <v>150</v>
      </c>
      <c r="D34" s="24">
        <v>0</v>
      </c>
      <c r="E34" s="39">
        <f>抽奖道具礼包4</f>
        <v>150</v>
      </c>
      <c r="F34" s="24">
        <v>0</v>
      </c>
      <c r="G34" s="39">
        <f>抽奖道具礼包4</f>
        <v>150</v>
      </c>
      <c r="H34" s="24">
        <v>0</v>
      </c>
      <c r="I34" s="39">
        <f>抽奖道具礼包4</f>
        <v>150</v>
      </c>
      <c r="J34" s="24">
        <v>0</v>
      </c>
      <c r="K34" s="39">
        <f>抽奖道具礼包4</f>
        <v>150</v>
      </c>
      <c r="L34" s="24">
        <v>0</v>
      </c>
      <c r="M34" s="39">
        <f>抽奖道具礼包4</f>
        <v>150</v>
      </c>
      <c r="N34" s="24">
        <v>0</v>
      </c>
      <c r="O34" s="39">
        <f>抽奖道具礼包4</f>
        <v>150</v>
      </c>
      <c r="P34" s="24">
        <v>0</v>
      </c>
      <c r="R34" s="127"/>
    </row>
    <row r="35" spans="2:18">
      <c r="B35" s="99" t="str">
        <f>抽奖道具 &amp; "礼包Ⅴ"</f>
        <v>随机骰子礼包Ⅴ</v>
      </c>
      <c r="C35" s="39">
        <f>抽奖道具礼包5</f>
        <v>270</v>
      </c>
      <c r="D35" s="24">
        <v>0</v>
      </c>
      <c r="E35" s="39">
        <f>抽奖道具礼包5</f>
        <v>270</v>
      </c>
      <c r="F35" s="24">
        <v>0</v>
      </c>
      <c r="G35" s="39">
        <f>抽奖道具礼包5</f>
        <v>270</v>
      </c>
      <c r="H35" s="24">
        <v>0</v>
      </c>
      <c r="I35" s="39">
        <f>抽奖道具礼包5</f>
        <v>270</v>
      </c>
      <c r="J35" s="24">
        <v>0</v>
      </c>
      <c r="K35" s="39">
        <f>抽奖道具礼包5</f>
        <v>270</v>
      </c>
      <c r="L35" s="24">
        <v>0</v>
      </c>
      <c r="M35" s="39">
        <f>抽奖道具礼包5</f>
        <v>270</v>
      </c>
      <c r="N35" s="24">
        <v>0</v>
      </c>
      <c r="O35" s="39">
        <f>抽奖道具礼包5</f>
        <v>270</v>
      </c>
      <c r="P35" s="24">
        <v>0</v>
      </c>
      <c r="R35" s="127"/>
    </row>
    <row r="36" spans="2:18">
      <c r="B36" s="99" t="str">
        <f>抽奖道具 &amp; "礼包Ⅵ"</f>
        <v>随机骰子礼包Ⅵ</v>
      </c>
      <c r="C36" s="39">
        <f>抽奖道具礼包6</f>
        <v>0</v>
      </c>
      <c r="D36" s="24">
        <v>0</v>
      </c>
      <c r="E36" s="39">
        <f>抽奖道具礼包6</f>
        <v>0</v>
      </c>
      <c r="F36" s="24">
        <v>0</v>
      </c>
      <c r="G36" s="39">
        <f>抽奖道具礼包6</f>
        <v>0</v>
      </c>
      <c r="H36" s="24">
        <v>0</v>
      </c>
      <c r="I36" s="39">
        <f>抽奖道具礼包6</f>
        <v>0</v>
      </c>
      <c r="J36" s="24">
        <v>0</v>
      </c>
      <c r="K36" s="39">
        <f>抽奖道具礼包6</f>
        <v>0</v>
      </c>
      <c r="L36" s="24">
        <v>0</v>
      </c>
      <c r="M36" s="39">
        <f>抽奖道具礼包6</f>
        <v>0</v>
      </c>
      <c r="N36" s="24">
        <v>0</v>
      </c>
      <c r="O36" s="39">
        <f>抽奖道具礼包6</f>
        <v>0</v>
      </c>
      <c r="P36" s="24">
        <v>0</v>
      </c>
      <c r="R36" s="127"/>
    </row>
    <row r="37" spans="2:18" ht="16.2" thickBot="1">
      <c r="B37" s="100" t="str">
        <f>抽奖道具 &amp; "礼包Ⅶ"</f>
        <v>随机骰子礼包Ⅶ</v>
      </c>
      <c r="C37" s="57">
        <f>抽奖道具礼包7</f>
        <v>0</v>
      </c>
      <c r="D37" s="12">
        <v>0</v>
      </c>
      <c r="E37" s="57">
        <f>抽奖道具礼包7</f>
        <v>0</v>
      </c>
      <c r="F37" s="12">
        <v>0</v>
      </c>
      <c r="G37" s="57">
        <f>抽奖道具礼包7</f>
        <v>0</v>
      </c>
      <c r="H37" s="12">
        <v>0</v>
      </c>
      <c r="I37" s="57">
        <f>抽奖道具礼包7</f>
        <v>0</v>
      </c>
      <c r="J37" s="12">
        <v>0</v>
      </c>
      <c r="K37" s="57">
        <f>抽奖道具礼包7</f>
        <v>0</v>
      </c>
      <c r="L37" s="12">
        <v>0</v>
      </c>
      <c r="M37" s="57">
        <f>抽奖道具礼包7</f>
        <v>0</v>
      </c>
      <c r="N37" s="12">
        <v>0</v>
      </c>
      <c r="O37" s="57">
        <f>抽奖道具礼包7</f>
        <v>0</v>
      </c>
      <c r="P37" s="12">
        <v>0</v>
      </c>
      <c r="R37" s="127"/>
    </row>
    <row r="38" spans="2:18" ht="16.8" thickTop="1" thickBot="1">
      <c r="B38" s="39" t="s">
        <v>97</v>
      </c>
      <c r="C38" s="55" t="str">
        <f>高级兑换道具</f>
        <v>月华糕</v>
      </c>
      <c r="D38" s="56" t="s">
        <v>96</v>
      </c>
      <c r="E38" s="55" t="str">
        <f>高级兑换道具</f>
        <v>月华糕</v>
      </c>
      <c r="F38" s="56" t="s">
        <v>96</v>
      </c>
      <c r="G38" s="55" t="str">
        <f>高级兑换道具</f>
        <v>月华糕</v>
      </c>
      <c r="H38" s="56" t="s">
        <v>96</v>
      </c>
      <c r="I38" s="55" t="str">
        <f>高级兑换道具</f>
        <v>月华糕</v>
      </c>
      <c r="J38" s="56" t="s">
        <v>96</v>
      </c>
      <c r="K38" s="55" t="str">
        <f>高级兑换道具</f>
        <v>月华糕</v>
      </c>
      <c r="L38" s="56" t="s">
        <v>96</v>
      </c>
      <c r="M38" s="55" t="str">
        <f>高级兑换道具</f>
        <v>月华糕</v>
      </c>
      <c r="N38" s="56" t="s">
        <v>96</v>
      </c>
      <c r="O38" s="55" t="str">
        <f>高级兑换道具</f>
        <v>月华糕</v>
      </c>
      <c r="P38" s="56" t="s">
        <v>96</v>
      </c>
      <c r="R38" s="127"/>
    </row>
    <row r="39" spans="2:18" ht="16.2" customHeight="1" thickTop="1">
      <c r="B39" s="91" t="str">
        <f>高级兑换道具 &amp; "礼包Ⅰ"</f>
        <v>月华糕礼包Ⅰ</v>
      </c>
      <c r="C39" s="18">
        <f>高级兑换道具礼包1</f>
        <v>2</v>
      </c>
      <c r="D39" s="32">
        <v>0</v>
      </c>
      <c r="E39" s="18">
        <f>高级兑换道具礼包1</f>
        <v>2</v>
      </c>
      <c r="F39" s="32">
        <v>0</v>
      </c>
      <c r="G39" s="18">
        <f>高级兑换道具礼包1</f>
        <v>2</v>
      </c>
      <c r="H39" s="32">
        <v>0</v>
      </c>
      <c r="I39" s="18">
        <f>高级兑换道具礼包1</f>
        <v>2</v>
      </c>
      <c r="J39" s="32">
        <v>0</v>
      </c>
      <c r="K39" s="18">
        <f>高级兑换道具礼包1</f>
        <v>2</v>
      </c>
      <c r="L39" s="32">
        <v>0</v>
      </c>
      <c r="M39" s="18">
        <f>高级兑换道具礼包1</f>
        <v>2</v>
      </c>
      <c r="N39" s="32">
        <v>0</v>
      </c>
      <c r="O39" s="18">
        <f>高级兑换道具礼包1</f>
        <v>2</v>
      </c>
      <c r="P39" s="32">
        <v>0</v>
      </c>
      <c r="R39" s="127"/>
    </row>
    <row r="40" spans="2:18">
      <c r="B40" s="92" t="str">
        <f>高级兑换道具 &amp; "礼包Ⅱ"</f>
        <v>月华糕礼包Ⅱ</v>
      </c>
      <c r="C40" s="39">
        <f>高级兑换道具礼包2</f>
        <v>4</v>
      </c>
      <c r="D40" s="4">
        <v>0</v>
      </c>
      <c r="E40" s="39">
        <f>高级兑换道具礼包2</f>
        <v>4</v>
      </c>
      <c r="F40" s="4">
        <v>0</v>
      </c>
      <c r="G40" s="39">
        <f>高级兑换道具礼包2</f>
        <v>4</v>
      </c>
      <c r="H40" s="4">
        <v>0</v>
      </c>
      <c r="I40" s="39">
        <f>高级兑换道具礼包2</f>
        <v>4</v>
      </c>
      <c r="J40" s="4">
        <v>0</v>
      </c>
      <c r="K40" s="39">
        <f>高级兑换道具礼包2</f>
        <v>4</v>
      </c>
      <c r="L40" s="4">
        <v>0</v>
      </c>
      <c r="M40" s="39">
        <f>高级兑换道具礼包2</f>
        <v>4</v>
      </c>
      <c r="N40" s="4">
        <v>0</v>
      </c>
      <c r="O40" s="39">
        <f>高级兑换道具礼包2</f>
        <v>4</v>
      </c>
      <c r="P40" s="4">
        <v>0</v>
      </c>
      <c r="R40" s="127"/>
    </row>
    <row r="41" spans="2:18">
      <c r="B41" s="92" t="str">
        <f>高级兑换道具 &amp; "礼包Ⅲ"</f>
        <v>月华糕礼包Ⅲ</v>
      </c>
      <c r="C41" s="39">
        <f>高级兑换道具礼包3</f>
        <v>10</v>
      </c>
      <c r="D41" s="4">
        <v>0</v>
      </c>
      <c r="E41" s="39">
        <f>高级兑换道具礼包3</f>
        <v>10</v>
      </c>
      <c r="F41" s="4">
        <v>0</v>
      </c>
      <c r="G41" s="39">
        <f>高级兑换道具礼包3</f>
        <v>10</v>
      </c>
      <c r="H41" s="4">
        <v>0</v>
      </c>
      <c r="I41" s="39">
        <f>高级兑换道具礼包3</f>
        <v>10</v>
      </c>
      <c r="J41" s="4">
        <v>0</v>
      </c>
      <c r="K41" s="39">
        <f>高级兑换道具礼包3</f>
        <v>10</v>
      </c>
      <c r="L41" s="4">
        <v>0</v>
      </c>
      <c r="M41" s="39">
        <f>高级兑换道具礼包3</f>
        <v>10</v>
      </c>
      <c r="N41" s="4">
        <v>0</v>
      </c>
      <c r="O41" s="39">
        <f>高级兑换道具礼包3</f>
        <v>10</v>
      </c>
      <c r="P41" s="4">
        <v>0</v>
      </c>
      <c r="R41" s="127"/>
    </row>
    <row r="42" spans="2:18" ht="16.2" thickBot="1">
      <c r="B42" s="93" t="str">
        <f>高级兑换道具 &amp; "礼包Ⅳ"</f>
        <v>月华糕礼包Ⅳ</v>
      </c>
      <c r="C42" s="57">
        <f>高级兑换道具礼包4</f>
        <v>20</v>
      </c>
      <c r="D42" s="12">
        <v>0</v>
      </c>
      <c r="E42" s="57">
        <f>高级兑换道具礼包4</f>
        <v>20</v>
      </c>
      <c r="F42" s="12">
        <v>0</v>
      </c>
      <c r="G42" s="57">
        <f>高级兑换道具礼包4</f>
        <v>20</v>
      </c>
      <c r="H42" s="12">
        <v>0</v>
      </c>
      <c r="I42" s="57">
        <f>高级兑换道具礼包4</f>
        <v>20</v>
      </c>
      <c r="J42" s="12">
        <v>0</v>
      </c>
      <c r="K42" s="57">
        <f>高级兑换道具礼包4</f>
        <v>20</v>
      </c>
      <c r="L42" s="12">
        <v>0</v>
      </c>
      <c r="M42" s="57">
        <f>高级兑换道具礼包4</f>
        <v>20</v>
      </c>
      <c r="N42" s="12">
        <v>0</v>
      </c>
      <c r="O42" s="57">
        <f>高级兑换道具礼包4</f>
        <v>20</v>
      </c>
      <c r="P42" s="12">
        <v>0</v>
      </c>
      <c r="R42" s="127"/>
    </row>
    <row r="43" spans="2:18" ht="16.8" thickTop="1" thickBot="1">
      <c r="B43" s="129" t="s">
        <v>149</v>
      </c>
      <c r="C43" s="57" t="s">
        <v>152</v>
      </c>
      <c r="D43" s="12">
        <v>0</v>
      </c>
      <c r="E43" s="57" t="s">
        <v>152</v>
      </c>
      <c r="F43" s="12">
        <v>0</v>
      </c>
      <c r="G43" s="57" t="s">
        <v>152</v>
      </c>
      <c r="H43" s="12">
        <v>0</v>
      </c>
      <c r="I43" s="57" t="s">
        <v>152</v>
      </c>
      <c r="J43" s="12">
        <v>0</v>
      </c>
      <c r="K43" s="57" t="s">
        <v>152</v>
      </c>
      <c r="L43" s="12">
        <v>0</v>
      </c>
      <c r="M43" s="57" t="s">
        <v>152</v>
      </c>
      <c r="N43" s="12">
        <v>0</v>
      </c>
      <c r="O43" s="57" t="s">
        <v>152</v>
      </c>
      <c r="P43" s="12">
        <v>1</v>
      </c>
      <c r="R43" s="127"/>
    </row>
    <row r="44" spans="2:18" ht="16.8" thickTop="1" thickBot="1">
      <c r="B44" s="130"/>
      <c r="C44" s="67" t="s">
        <v>151</v>
      </c>
      <c r="D44" s="68">
        <v>0</v>
      </c>
      <c r="E44" s="67" t="s">
        <v>151</v>
      </c>
      <c r="F44" s="68">
        <v>0</v>
      </c>
      <c r="G44" s="67" t="s">
        <v>151</v>
      </c>
      <c r="H44" s="68">
        <v>0</v>
      </c>
      <c r="I44" s="67" t="s">
        <v>151</v>
      </c>
      <c r="J44" s="68">
        <v>0</v>
      </c>
      <c r="K44" s="67" t="s">
        <v>151</v>
      </c>
      <c r="L44" s="68">
        <v>0</v>
      </c>
      <c r="M44" s="67" t="s">
        <v>151</v>
      </c>
      <c r="N44" s="68">
        <v>0</v>
      </c>
      <c r="O44" s="67" t="s">
        <v>151</v>
      </c>
      <c r="P44" s="68">
        <v>1</v>
      </c>
      <c r="R44" s="128"/>
    </row>
    <row r="45" spans="2:18" ht="23.4" customHeight="1" thickTop="1" thickBot="1">
      <c r="B45" s="96" t="s">
        <v>155</v>
      </c>
      <c r="C45" s="131"/>
      <c r="D45" s="132"/>
      <c r="E45" s="133"/>
      <c r="F45" s="132"/>
      <c r="G45" s="133"/>
      <c r="H45" s="132"/>
      <c r="I45" s="133"/>
      <c r="J45" s="132"/>
      <c r="K45" s="133"/>
      <c r="L45" s="132"/>
      <c r="M45" s="133"/>
      <c r="N45" s="132"/>
      <c r="O45" s="133" t="s">
        <v>193</v>
      </c>
      <c r="P45" s="132"/>
      <c r="R45" s="98" t="s">
        <v>180</v>
      </c>
    </row>
    <row r="46" spans="2:18" ht="30" customHeight="1" thickTop="1">
      <c r="B46" s="94" t="s">
        <v>156</v>
      </c>
      <c r="C46" s="137" t="s">
        <v>162</v>
      </c>
      <c r="D46" s="135"/>
      <c r="E46" s="137" t="s">
        <v>162</v>
      </c>
      <c r="F46" s="135"/>
      <c r="G46" s="137" t="s">
        <v>162</v>
      </c>
      <c r="H46" s="135"/>
      <c r="I46" s="137" t="s">
        <v>162</v>
      </c>
      <c r="J46" s="135"/>
      <c r="K46" s="137" t="s">
        <v>162</v>
      </c>
      <c r="L46" s="135"/>
      <c r="M46" s="137" t="s">
        <v>162</v>
      </c>
      <c r="N46" s="135"/>
      <c r="O46" s="137" t="s">
        <v>162</v>
      </c>
      <c r="P46" s="135"/>
      <c r="R46" s="126" t="s">
        <v>181</v>
      </c>
    </row>
    <row r="47" spans="2:18" ht="30" customHeight="1">
      <c r="B47" s="94" t="s">
        <v>157</v>
      </c>
      <c r="C47" s="136" t="s">
        <v>163</v>
      </c>
      <c r="D47" s="105"/>
      <c r="E47" s="136" t="s">
        <v>163</v>
      </c>
      <c r="F47" s="105"/>
      <c r="G47" s="136" t="s">
        <v>163</v>
      </c>
      <c r="H47" s="105"/>
      <c r="I47" s="136" t="s">
        <v>163</v>
      </c>
      <c r="J47" s="105"/>
      <c r="K47" s="136" t="s">
        <v>163</v>
      </c>
      <c r="L47" s="105"/>
      <c r="M47" s="136" t="s">
        <v>163</v>
      </c>
      <c r="N47" s="105"/>
      <c r="O47" s="136" t="s">
        <v>163</v>
      </c>
      <c r="P47" s="105"/>
      <c r="R47" s="127"/>
    </row>
    <row r="48" spans="2:18" ht="30" customHeight="1">
      <c r="B48" s="94" t="s">
        <v>158</v>
      </c>
      <c r="C48" s="137" t="s">
        <v>164</v>
      </c>
      <c r="D48" s="135"/>
      <c r="E48" s="137" t="s">
        <v>164</v>
      </c>
      <c r="F48" s="135"/>
      <c r="G48" s="137" t="s">
        <v>164</v>
      </c>
      <c r="H48" s="135"/>
      <c r="I48" s="137" t="s">
        <v>164</v>
      </c>
      <c r="J48" s="135"/>
      <c r="K48" s="137" t="s">
        <v>164</v>
      </c>
      <c r="L48" s="135"/>
      <c r="M48" s="137" t="s">
        <v>164</v>
      </c>
      <c r="N48" s="135"/>
      <c r="O48" s="137" t="s">
        <v>190</v>
      </c>
      <c r="P48" s="135"/>
      <c r="R48" s="127"/>
    </row>
    <row r="49" spans="2:19" ht="30" customHeight="1">
      <c r="B49" s="94" t="s">
        <v>159</v>
      </c>
      <c r="C49" s="137"/>
      <c r="D49" s="135"/>
      <c r="E49" s="137"/>
      <c r="F49" s="135"/>
      <c r="G49" s="137"/>
      <c r="H49" s="135"/>
      <c r="I49" s="137"/>
      <c r="J49" s="135"/>
      <c r="K49" s="137"/>
      <c r="L49" s="135"/>
      <c r="M49" s="137"/>
      <c r="N49" s="135"/>
      <c r="O49" s="137" t="s">
        <v>231</v>
      </c>
      <c r="P49" s="135"/>
      <c r="R49" s="127"/>
    </row>
    <row r="50" spans="2:19" ht="30" customHeight="1" thickBot="1">
      <c r="B50" s="97" t="s">
        <v>160</v>
      </c>
      <c r="C50" s="137"/>
      <c r="D50" s="135"/>
      <c r="E50" s="137"/>
      <c r="F50" s="135"/>
      <c r="G50" s="137"/>
      <c r="H50" s="135"/>
      <c r="I50" s="137"/>
      <c r="J50" s="135"/>
      <c r="K50" s="137"/>
      <c r="L50" s="135"/>
      <c r="M50" s="137"/>
      <c r="N50" s="135"/>
      <c r="O50" s="137" t="s">
        <v>232</v>
      </c>
      <c r="P50" s="135"/>
      <c r="Q50" s="23"/>
      <c r="R50" s="128"/>
      <c r="S50" s="23"/>
    </row>
    <row r="51" spans="2:19" ht="17.399999999999999" thickTop="1" thickBot="1">
      <c r="B51" s="139" t="s">
        <v>34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76"/>
      <c r="R51" s="6"/>
      <c r="S51" s="6"/>
    </row>
    <row r="52" spans="2:19" ht="19.95" customHeight="1" thickTop="1" thickBot="1">
      <c r="B52" s="143" t="s">
        <v>192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R52" s="126" t="s">
        <v>182</v>
      </c>
      <c r="S52" s="6"/>
    </row>
    <row r="53" spans="2:19" ht="19.95" customHeight="1" thickTop="1" thickBot="1">
      <c r="B53" s="143" t="s">
        <v>194</v>
      </c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R53" s="127"/>
      <c r="S53" s="6"/>
    </row>
    <row r="54" spans="2:19" ht="19.95" customHeight="1" thickTop="1" thickBot="1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5"/>
      <c r="R54" s="127"/>
      <c r="S54" s="6"/>
    </row>
    <row r="55" spans="2:19" ht="19.95" customHeight="1" thickTop="1" thickBot="1">
      <c r="B55" s="14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5"/>
      <c r="R55" s="128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95"/>
      <c r="C57" s="95"/>
      <c r="D57" s="95"/>
      <c r="K57" s="138"/>
      <c r="L57" s="138"/>
      <c r="M57" s="138"/>
      <c r="N57" s="138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95"/>
      <c r="C61" s="95"/>
      <c r="D61" s="95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B2:P2"/>
    <mergeCell ref="B3:B4"/>
    <mergeCell ref="C3:H3"/>
    <mergeCell ref="I3:L3"/>
    <mergeCell ref="M3:P3"/>
    <mergeCell ref="C4:P4"/>
    <mergeCell ref="C5:P5"/>
    <mergeCell ref="C6:D6"/>
    <mergeCell ref="E6:F6"/>
    <mergeCell ref="G6:H6"/>
    <mergeCell ref="I6:J6"/>
    <mergeCell ref="K6:L6"/>
    <mergeCell ref="M6:N6"/>
    <mergeCell ref="O6:P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E48:F48"/>
    <mergeCell ref="G48:H48"/>
    <mergeCell ref="I48:J48"/>
    <mergeCell ref="K48:L48"/>
    <mergeCell ref="M48:N48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K57:N57"/>
    <mergeCell ref="B51:P51"/>
    <mergeCell ref="B52:P52"/>
    <mergeCell ref="R52:R55"/>
    <mergeCell ref="B53:P53"/>
    <mergeCell ref="B54:P54"/>
    <mergeCell ref="B55:P55"/>
  </mergeCells>
  <phoneticPr fontId="7" type="noConversion"/>
  <conditionalFormatting sqref="B10:P10">
    <cfRule type="cellIs" dxfId="47" priority="9" operator="greaterThan">
      <formula>0</formula>
    </cfRule>
  </conditionalFormatting>
  <conditionalFormatting sqref="B13:P13">
    <cfRule type="cellIs" dxfId="46" priority="3" operator="greaterThan">
      <formula>0</formula>
    </cfRule>
  </conditionalFormatting>
  <conditionalFormatting sqref="B14:P14">
    <cfRule type="cellIs" dxfId="45" priority="6" operator="greaterThan">
      <formula>0</formula>
    </cfRule>
  </conditionalFormatting>
  <conditionalFormatting sqref="C11:P11">
    <cfRule type="cellIs" dxfId="44" priority="7" operator="greaterThan">
      <formula>0</formula>
    </cfRule>
  </conditionalFormatting>
  <conditionalFormatting sqref="C15:P15 D31:D37 F31:F37 H31:H37 J31:J37 L31:L37 N31:N37 P31:P37">
    <cfRule type="cellIs" dxfId="43" priority="5" operator="greaterThan">
      <formula>0</formula>
    </cfRule>
  </conditionalFormatting>
  <conditionalFormatting sqref="C15:P16">
    <cfRule type="cellIs" dxfId="42" priority="8" operator="greaterThan">
      <formula>0</formula>
    </cfRule>
  </conditionalFormatting>
  <conditionalFormatting sqref="C17:P17">
    <cfRule type="cellIs" dxfId="41" priority="12" operator="greaterThan">
      <formula>0</formula>
    </cfRule>
  </conditionalFormatting>
  <conditionalFormatting sqref="C19:P19">
    <cfRule type="cellIs" dxfId="40" priority="10" operator="greaterThan">
      <formula>0</formula>
    </cfRule>
  </conditionalFormatting>
  <conditionalFormatting sqref="C21:P21">
    <cfRule type="cellIs" dxfId="39" priority="11" operator="greaterThan">
      <formula>0</formula>
    </cfRule>
  </conditionalFormatting>
  <conditionalFormatting sqref="C22:P22 D39:D42 F39:F42 H39:H42 J39:J42 L39:L42 N39:N42 P39:P42">
    <cfRule type="cellIs" dxfId="38" priority="4" operator="greaterThan">
      <formula>0</formula>
    </cfRule>
  </conditionalFormatting>
  <conditionalFormatting sqref="D43 F43 H43 J43 L43 N43 P43">
    <cfRule type="cellIs" dxfId="37" priority="1" operator="greaterThan">
      <formula>0</formula>
    </cfRule>
  </conditionalFormatting>
  <conditionalFormatting sqref="D44 F44 H44 J44 L44 N44 P44">
    <cfRule type="cellIs" dxfId="3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D062-74BC-48B0-955F-60FED06D5A36}">
  <dimension ref="B1:T81"/>
  <sheetViews>
    <sheetView zoomScaleNormal="100" workbookViewId="0">
      <selection activeCell="R52" sqref="R52:R55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170</v>
      </c>
      <c r="S1" s="1" t="s">
        <v>184</v>
      </c>
    </row>
    <row r="2" spans="2:20" ht="28.2" customHeight="1" thickTop="1" thickBot="1">
      <c r="B2" s="106" t="s">
        <v>196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8"/>
      <c r="R2" s="98" t="s">
        <v>169</v>
      </c>
    </row>
    <row r="3" spans="2:20" ht="24" thickTop="1">
      <c r="B3" s="109" t="s">
        <v>94</v>
      </c>
      <c r="C3" s="111" t="str">
        <f>SUM(C10,E10,G10,I10,K10,M10,O10)*钻石购买 &amp;"钻石"</f>
        <v>49000钻石</v>
      </c>
      <c r="D3" s="112"/>
      <c r="E3" s="112"/>
      <c r="F3" s="112"/>
      <c r="G3" s="112"/>
      <c r="H3" s="112"/>
      <c r="I3" s="113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720元</v>
      </c>
      <c r="J3" s="113"/>
      <c r="K3" s="113"/>
      <c r="L3" s="113"/>
      <c r="M3" s="114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11000翡翠</v>
      </c>
      <c r="N3" s="114"/>
      <c r="O3" s="114"/>
      <c r="P3" s="115"/>
    </row>
    <row r="4" spans="2:20" ht="21" thickBot="1">
      <c r="B4" s="110"/>
      <c r="C4" s="116" t="str">
        <f>"最终收益："&amp;ROUNDDOWN(O29,0)&amp;B29&amp;"+"&amp;ROUNDDOWN(O28,0)&amp;B28</f>
        <v>最终收益：62月华糕+1594桂香糕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2:20" ht="21.6" thickTop="1" thickBot="1">
      <c r="B5" s="30" t="s">
        <v>153</v>
      </c>
      <c r="C5" s="119" t="s">
        <v>202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98" t="s">
        <v>153</v>
      </c>
    </row>
    <row r="6" spans="2:20" ht="16.8" thickTop="1" thickBot="1">
      <c r="B6" s="66" t="s">
        <v>93</v>
      </c>
      <c r="C6" s="122" t="s">
        <v>24</v>
      </c>
      <c r="D6" s="123"/>
      <c r="E6" s="122" t="s">
        <v>25</v>
      </c>
      <c r="F6" s="123"/>
      <c r="G6" s="122" t="s">
        <v>26</v>
      </c>
      <c r="H6" s="123"/>
      <c r="I6" s="122" t="s">
        <v>27</v>
      </c>
      <c r="J6" s="123"/>
      <c r="K6" s="122" t="s">
        <v>28</v>
      </c>
      <c r="L6" s="123"/>
      <c r="M6" s="122" t="s">
        <v>29</v>
      </c>
      <c r="N6" s="123"/>
      <c r="O6" s="122" t="s">
        <v>30</v>
      </c>
      <c r="P6" s="123"/>
      <c r="R6" s="6"/>
      <c r="S6" s="23"/>
      <c r="T6" s="23"/>
    </row>
    <row r="7" spans="2:20" ht="16.8" thickTop="1" thickBot="1">
      <c r="B7" s="13" t="s">
        <v>95</v>
      </c>
      <c r="C7" s="67" t="str">
        <f>抽奖道具</f>
        <v>随机骰子</v>
      </c>
      <c r="D7" s="68" t="s">
        <v>6</v>
      </c>
      <c r="E7" s="67" t="str">
        <f>抽奖道具</f>
        <v>随机骰子</v>
      </c>
      <c r="F7" s="68" t="s">
        <v>6</v>
      </c>
      <c r="G7" s="67" t="str">
        <f>抽奖道具</f>
        <v>随机骰子</v>
      </c>
      <c r="H7" s="68" t="s">
        <v>6</v>
      </c>
      <c r="I7" s="67" t="str">
        <f>抽奖道具</f>
        <v>随机骰子</v>
      </c>
      <c r="J7" s="68" t="s">
        <v>6</v>
      </c>
      <c r="K7" s="67" t="str">
        <f>抽奖道具</f>
        <v>随机骰子</v>
      </c>
      <c r="L7" s="68" t="s">
        <v>6</v>
      </c>
      <c r="M7" s="67" t="str">
        <f>抽奖道具</f>
        <v>随机骰子</v>
      </c>
      <c r="N7" s="68" t="s">
        <v>6</v>
      </c>
      <c r="O7" s="67" t="str">
        <f>抽奖道具</f>
        <v>随机骰子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0</v>
      </c>
      <c r="D8" s="4">
        <f t="shared" ref="D8:P16" si="0">C8*积分规则1</f>
        <v>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30</v>
      </c>
      <c r="D9" s="4">
        <f t="shared" si="0"/>
        <v>60</v>
      </c>
      <c r="E9" s="3">
        <f>每日任务抽奖道具数量</f>
        <v>30</v>
      </c>
      <c r="F9" s="4">
        <f t="shared" si="1"/>
        <v>60</v>
      </c>
      <c r="G9" s="3">
        <f>每日任务抽奖道具数量</f>
        <v>30</v>
      </c>
      <c r="H9" s="4">
        <f t="shared" si="2"/>
        <v>60</v>
      </c>
      <c r="I9" s="3">
        <f>每日任务抽奖道具数量</f>
        <v>30</v>
      </c>
      <c r="J9" s="4">
        <f t="shared" si="3"/>
        <v>60</v>
      </c>
      <c r="K9" s="3">
        <f>每日任务抽奖道具数量</f>
        <v>30</v>
      </c>
      <c r="L9" s="4">
        <f t="shared" si="4"/>
        <v>60</v>
      </c>
      <c r="M9" s="3">
        <f>每日任务抽奖道具数量</f>
        <v>30</v>
      </c>
      <c r="N9" s="4">
        <f t="shared" si="5"/>
        <v>60</v>
      </c>
      <c r="O9" s="3">
        <f>每日任务抽奖道具数量</f>
        <v>30</v>
      </c>
      <c r="P9" s="4">
        <f t="shared" si="6"/>
        <v>60</v>
      </c>
    </row>
    <row r="10" spans="2:20" ht="16.8" thickTop="1" thickBot="1">
      <c r="B10" s="14" t="s">
        <v>17</v>
      </c>
      <c r="C10" s="3">
        <v>70</v>
      </c>
      <c r="D10" s="4">
        <f t="shared" si="0"/>
        <v>140</v>
      </c>
      <c r="E10" s="3">
        <v>70</v>
      </c>
      <c r="F10" s="4">
        <f t="shared" si="1"/>
        <v>140</v>
      </c>
      <c r="G10" s="3">
        <v>70</v>
      </c>
      <c r="H10" s="4">
        <f t="shared" si="2"/>
        <v>140</v>
      </c>
      <c r="I10" s="3">
        <v>70</v>
      </c>
      <c r="J10" s="4">
        <f t="shared" si="3"/>
        <v>140</v>
      </c>
      <c r="K10" s="3">
        <v>70</v>
      </c>
      <c r="L10" s="4">
        <f t="shared" si="4"/>
        <v>140</v>
      </c>
      <c r="M10" s="3">
        <v>70</v>
      </c>
      <c r="N10" s="4">
        <f t="shared" si="5"/>
        <v>140</v>
      </c>
      <c r="O10" s="3">
        <v>70</v>
      </c>
      <c r="P10" s="4">
        <f t="shared" si="6"/>
        <v>140</v>
      </c>
      <c r="R10" s="98" t="s">
        <v>176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75</v>
      </c>
      <c r="P11" s="4">
        <f t="shared" si="6"/>
        <v>150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2</v>
      </c>
      <c r="D13" s="4">
        <f t="shared" si="0"/>
        <v>4</v>
      </c>
      <c r="E13" s="3">
        <f>每日广告抽奖道具数量</f>
        <v>2</v>
      </c>
      <c r="F13" s="4">
        <f t="shared" si="0"/>
        <v>4</v>
      </c>
      <c r="G13" s="3">
        <f>每日广告抽奖道具数量</f>
        <v>2</v>
      </c>
      <c r="H13" s="4">
        <f t="shared" si="0"/>
        <v>4</v>
      </c>
      <c r="I13" s="3">
        <f>每日广告抽奖道具数量</f>
        <v>2</v>
      </c>
      <c r="J13" s="4">
        <f t="shared" si="0"/>
        <v>4</v>
      </c>
      <c r="K13" s="3">
        <f>每日广告抽奖道具数量</f>
        <v>2</v>
      </c>
      <c r="L13" s="4">
        <f t="shared" si="0"/>
        <v>4</v>
      </c>
      <c r="M13" s="3">
        <f>每日广告抽奖道具数量</f>
        <v>2</v>
      </c>
      <c r="N13" s="4">
        <f t="shared" si="0"/>
        <v>4</v>
      </c>
      <c r="O13" s="3">
        <f>每日广告抽奖道具数量</f>
        <v>2</v>
      </c>
      <c r="P13" s="4">
        <f t="shared" si="0"/>
        <v>4</v>
      </c>
    </row>
    <row r="14" spans="2:20" ht="16.2" thickBot="1">
      <c r="B14" s="34" t="s">
        <v>73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30</v>
      </c>
      <c r="J15" s="4">
        <f t="shared" si="3"/>
        <v>60</v>
      </c>
      <c r="K15" s="3">
        <f>SUM(L31*抽奖道具礼包1,L32*抽奖道具礼包2,L33*抽奖道具礼包3,L34*抽奖道具礼包4,L35*抽奖道具礼包5,L36*抽奖道具礼包6,L37*抽奖道具礼包7)</f>
        <v>30</v>
      </c>
      <c r="L15" s="4">
        <f t="shared" si="4"/>
        <v>60</v>
      </c>
      <c r="M15" s="3">
        <f>SUM(N31*抽奖道具礼包1,N32*抽奖道具礼包2,N33*抽奖道具礼包3,N34*抽奖道具礼包4,N35*抽奖道具礼包5,N36*抽奖道具礼包6,N37*抽奖道具礼包7)</f>
        <v>75</v>
      </c>
      <c r="N15" s="4">
        <f t="shared" si="5"/>
        <v>150</v>
      </c>
      <c r="O15" s="3">
        <f>SUM(P31*抽奖道具礼包1,P32*抽奖道具礼包2,P33*抽奖道具礼包3,P34*抽奖道具礼包4,P35*抽奖道具礼包5,P36*抽奖道具礼包6,P37*抽奖道具礼包7)</f>
        <v>75</v>
      </c>
      <c r="P15" s="4">
        <f t="shared" si="6"/>
        <v>150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140</v>
      </c>
      <c r="P16" s="4">
        <f t="shared" si="6"/>
        <v>280</v>
      </c>
    </row>
    <row r="17" spans="2:19" ht="16.8" thickTop="1" thickBot="1">
      <c r="B17" s="40" t="str">
        <f>"使用"&amp;抽奖道具</f>
        <v>使用随机骰子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0</v>
      </c>
      <c r="N17" s="4">
        <f>M17*积分规则3</f>
        <v>0</v>
      </c>
      <c r="O17" s="3">
        <v>1139</v>
      </c>
      <c r="P17" s="4">
        <f>O17*积分规则3</f>
        <v>1328.8333333333333</v>
      </c>
      <c r="R17" s="98" t="s">
        <v>175</v>
      </c>
    </row>
    <row r="18" spans="2:19" ht="16.8" thickTop="1" thickBot="1">
      <c r="B18" s="36" t="str">
        <f>"剩余"&amp;抽奖道具</f>
        <v>剩余随机骰子</v>
      </c>
      <c r="C18" s="3">
        <f>C26-C17</f>
        <v>102</v>
      </c>
      <c r="D18" s="87">
        <f>C18*积分规则3</f>
        <v>118.99999999999999</v>
      </c>
      <c r="E18" s="3">
        <f>C18+SUM(E8:E16)-E17</f>
        <v>204</v>
      </c>
      <c r="F18" s="87">
        <f>E18*积分规则3</f>
        <v>237.99999999999997</v>
      </c>
      <c r="G18" s="3">
        <f>E18+SUM(G8:G16)-G17</f>
        <v>306</v>
      </c>
      <c r="H18" s="87">
        <f>G18*积分规则3</f>
        <v>356.99999999999994</v>
      </c>
      <c r="I18" s="3">
        <f>G18+SUM(I8:I16)-I17</f>
        <v>438</v>
      </c>
      <c r="J18" s="87">
        <f>I18*积分规则3</f>
        <v>510.99999999999994</v>
      </c>
      <c r="K18" s="3">
        <f>I18+SUM(K8:K16)-K17</f>
        <v>570</v>
      </c>
      <c r="L18" s="87">
        <f>K18*积分规则3</f>
        <v>664.99999999999989</v>
      </c>
      <c r="M18" s="3">
        <f>K18+SUM(M8:M16)-M17</f>
        <v>747</v>
      </c>
      <c r="N18" s="87">
        <f>M18*积分规则3</f>
        <v>871.49999999999989</v>
      </c>
      <c r="O18" s="3">
        <f>M18+SUM(O8:O16)-O17</f>
        <v>0</v>
      </c>
      <c r="P18" s="87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48</v>
      </c>
      <c r="P19" s="4">
        <f>O19*随机箱积分</f>
        <v>0</v>
      </c>
      <c r="R19" s="98" t="s">
        <v>177</v>
      </c>
      <c r="S19" s="26"/>
    </row>
    <row r="20" spans="2:19" ht="16.8" thickTop="1" thickBot="1">
      <c r="B20" s="36" t="s">
        <v>33</v>
      </c>
      <c r="C20" s="3">
        <f>C27-SUM(C19)+D44*氪金基金随机箱</f>
        <v>1</v>
      </c>
      <c r="D20" s="4">
        <f>C20*随机箱积分</f>
        <v>0</v>
      </c>
      <c r="E20" s="3">
        <f>E27-SUM(C19,E19)+F44*氪金基金随机箱</f>
        <v>2</v>
      </c>
      <c r="F20" s="4">
        <f>E20*随机箱积分</f>
        <v>0</v>
      </c>
      <c r="G20" s="3">
        <f>G27-SUM(C19,E19,G19)+H44*氪金基金随机箱</f>
        <v>3</v>
      </c>
      <c r="H20" s="4">
        <f>G20*随机箱积分</f>
        <v>0</v>
      </c>
      <c r="I20" s="3">
        <f>I27-SUM(C19,E19,G19,I19)+J44*氪金基金随机箱</f>
        <v>4</v>
      </c>
      <c r="J20" s="4">
        <f>I20*随机箱积分</f>
        <v>0</v>
      </c>
      <c r="K20" s="3">
        <f>K27-SUM(C19,E19,G19,I19,K19)+L44*氪金基金随机箱</f>
        <v>5</v>
      </c>
      <c r="L20" s="4">
        <f>K20*随机箱积分</f>
        <v>0</v>
      </c>
      <c r="M20" s="3">
        <f>M27-SUM(C19,E19,G19,I19,K19,M19)+N44*氪金基金随机箱</f>
        <v>7</v>
      </c>
      <c r="N20" s="4">
        <f>M20*随机箱积分</f>
        <v>0</v>
      </c>
      <c r="O20" s="3">
        <f>O27-SUM(C19,E19,G19,I19,K19,M19,O19)+P44*氪金基金随机箱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兑换月华糕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8" t="s">
        <v>179</v>
      </c>
    </row>
    <row r="22" spans="2:19" ht="16.2" thickTop="1">
      <c r="B22" s="70" t="str">
        <f xml:space="preserve"> "氪金"&amp;高级兑换道具</f>
        <v>氪金月华糕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12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98</v>
      </c>
      <c r="C24" s="42" t="str">
        <f>IFERROR(LOOKUP(D24,档位积分1:档位积分5,第1档:第5档),"无奖励")</f>
        <v>第1档</v>
      </c>
      <c r="D24" s="43">
        <f>SUM(D8:D17)+D19+SUM(D21:D23)</f>
        <v>204</v>
      </c>
      <c r="E24" s="44" t="str">
        <f>IFERROR(LOOKUP(F24,档位积分1:档位积分5,第1档:第5档),"无奖励")</f>
        <v>第1档</v>
      </c>
      <c r="F24" s="43">
        <f>SUM(F8:F17)+F19+SUM(F21:F23)</f>
        <v>204</v>
      </c>
      <c r="G24" s="44" t="str">
        <f>IFERROR(LOOKUP(H24,档位积分1:档位积分5,第1档:第5档),"无奖励")</f>
        <v>第1档</v>
      </c>
      <c r="H24" s="43">
        <f>SUM(H8:H17)+H19+SUM(H21:H23)</f>
        <v>204</v>
      </c>
      <c r="I24" s="44" t="str">
        <f>IFERROR(LOOKUP(J24,档位积分1:档位积分5,第1档:第5档),"无奖励")</f>
        <v>第1档</v>
      </c>
      <c r="J24" s="43">
        <f>SUM(J8:J17)+J19+SUM(J21:J23)</f>
        <v>264</v>
      </c>
      <c r="K24" s="44" t="str">
        <f>IFERROR(LOOKUP(L24,档位积分1:档位积分5,第1档:第5档),"无奖励")</f>
        <v>第1档</v>
      </c>
      <c r="L24" s="43">
        <f>SUM(L8:L17)+L19+SUM(L21:L23)</f>
        <v>264</v>
      </c>
      <c r="M24" s="44" t="str">
        <f>IFERROR(LOOKUP(N24,档位积分1:档位积分5,第1档:第5档),"无奖励")</f>
        <v>第2档</v>
      </c>
      <c r="N24" s="43">
        <f>SUM(N8:N17)+N19+SUM(N21:N23)</f>
        <v>354</v>
      </c>
      <c r="O24" s="44" t="str">
        <f>IFERROR(LOOKUP(P24,档位积分1:档位积分5,第1档:第5档),"无奖励")</f>
        <v>第5档</v>
      </c>
      <c r="P24" s="43">
        <f>SUM(P8:P17)+P19+SUM(P21:P23)</f>
        <v>2112.833333333333</v>
      </c>
    </row>
    <row r="25" spans="2:19" ht="16.8" thickTop="1" thickBot="1">
      <c r="B25" s="13" t="s">
        <v>99</v>
      </c>
      <c r="C25" s="85">
        <f>D24-IF(C24="无奖励", "",
   INDEX(档位积分1:档位积分5, MATCH(D24, 档位积分1:档位积分5, 1)))</f>
        <v>114</v>
      </c>
      <c r="D25" s="86">
        <f>IF(D24&gt;=MAX(档位积分1:档位积分5), "",
   IF(D24&lt;MIN(档位积分1:档位积分5), MIN(档位积分1:档位积分5),
      INDEX(档位积分1:档位积分5, MATCH(D24, 档位积分1:档位积分5, 1)+1)-D24))</f>
        <v>96</v>
      </c>
      <c r="E25" s="85">
        <f>F24-IF(E24="无奖励", "",
   INDEX(档位积分1:档位积分5, MATCH(F24, 档位积分1:档位积分5, 1)))</f>
        <v>114</v>
      </c>
      <c r="F25" s="86">
        <f>IF(F24&gt;=MAX(档位积分1:档位积分5), "",
   IF(F24&lt;MIN(档位积分1:档位积分5), MIN(档位积分1:档位积分5),
      INDEX(档位积分1:档位积分5, MATCH(F24, 档位积分1:档位积分5, 1)+1)-F24))</f>
        <v>96</v>
      </c>
      <c r="G25" s="85">
        <f>H24-IF(G24="无奖励", "",
   INDEX(档位积分1:档位积分5, MATCH(H24, 档位积分1:档位积分5, 1)))</f>
        <v>114</v>
      </c>
      <c r="H25" s="86">
        <f>IF(H24&gt;=MAX(档位积分1:档位积分5), "",
   IF(H24&lt;MIN(档位积分1:档位积分5), MIN(档位积分1:档位积分5),
      INDEX(档位积分1:档位积分5, MATCH(H24, 档位积分1:档位积分5, 1)+1)-H24))</f>
        <v>96</v>
      </c>
      <c r="I25" s="85">
        <f>J24-IF(I24="无奖励", "",
   INDEX(档位积分1:档位积分5, MATCH(J24, 档位积分1:档位积分5, 1)))</f>
        <v>174</v>
      </c>
      <c r="J25" s="86">
        <f>IF(J24&gt;=MAX(档位积分1:档位积分5), "",
   IF(J24&lt;MIN(档位积分1:档位积分5), MIN(档位积分1:档位积分5),
      INDEX(档位积分1:档位积分5, MATCH(J24, 档位积分1:档位积分5, 1)+1)-J24))</f>
        <v>36</v>
      </c>
      <c r="K25" s="85">
        <f>L24-IF(K24="无奖励", "",
   INDEX(档位积分1:档位积分5, MATCH(L24, 档位积分1:档位积分5, 1)))</f>
        <v>174</v>
      </c>
      <c r="L25" s="86">
        <f>IF(L24&gt;=MAX(档位积分1:档位积分5), "",
   IF(L24&lt;MIN(档位积分1:档位积分5), MIN(档位积分1:档位积分5),
      INDEX(档位积分1:档位积分5, MATCH(L24, 档位积分1:档位积分5, 1)+1)-L24))</f>
        <v>36</v>
      </c>
      <c r="M25" s="85">
        <f>N24-IF(M24="无奖励", "",
   INDEX(档位积分1:档位积分5, MATCH(N24, 档位积分1:档位积分5, 1)))</f>
        <v>54</v>
      </c>
      <c r="N25" s="86">
        <f>IF(N24&gt;=MAX(档位积分1:档位积分5), "",
   IF(N24&lt;MIN(档位积分1:档位积分5), MIN(档位积分1:档位积分5),
      INDEX(档位积分1:档位积分5, MATCH(N24, 档位积分1:档位积分5, 1)+1)-N24))</f>
        <v>168</v>
      </c>
      <c r="O25" s="85">
        <f>P24-IF(O24="无奖励", "",
   INDEX(档位积分1:档位积分5, MATCH(P24, 档位积分1:档位积分5, 1)))</f>
        <v>60.83333333333303</v>
      </c>
      <c r="P25" s="86" t="str">
        <f>IF(P24&gt;=MAX(档位积分1:档位积分5), "",
   IF(P24&lt;MIN(档位积分1:档位积分5), MIN(档位积分1:档位积分5),
      INDEX(档位积分1:档位积分5, MATCH(P24, 档位积分1:档位积分5, 1)+1)-P24))</f>
        <v/>
      </c>
    </row>
    <row r="26" spans="2:19" ht="16.2" thickTop="1">
      <c r="B26" s="41" t="str">
        <f>"总"&amp;抽奖道具</f>
        <v>总随机骰子</v>
      </c>
      <c r="C26" s="31">
        <f>SUM(C8:C16)</f>
        <v>102</v>
      </c>
      <c r="D26" s="49">
        <f>C26*积分规则3</f>
        <v>118.99999999999999</v>
      </c>
      <c r="E26" s="31">
        <f>C26+SUM(E8:E16)</f>
        <v>204</v>
      </c>
      <c r="F26" s="49">
        <f>E26*积分规则3</f>
        <v>237.99999999999997</v>
      </c>
      <c r="G26" s="31">
        <f>E26+SUM(G8:G16)</f>
        <v>306</v>
      </c>
      <c r="H26" s="49">
        <f>G26*积分规则3</f>
        <v>356.99999999999994</v>
      </c>
      <c r="I26" s="31">
        <f>G26+SUM(I8:I16)</f>
        <v>438</v>
      </c>
      <c r="J26" s="49">
        <f>I26*积分规则3</f>
        <v>510.99999999999994</v>
      </c>
      <c r="K26" s="31">
        <f>I26+SUM(K8:K16)</f>
        <v>570</v>
      </c>
      <c r="L26" s="49">
        <f>K26*积分规则3</f>
        <v>664.99999999999989</v>
      </c>
      <c r="M26" s="31">
        <f>K26+SUM(M8:M16)</f>
        <v>747</v>
      </c>
      <c r="N26" s="49">
        <f>M26*积分规则3</f>
        <v>871.49999999999989</v>
      </c>
      <c r="O26" s="31">
        <f>M26+SUM(O8:O16)</f>
        <v>1139</v>
      </c>
      <c r="P26" s="49">
        <f>O26*积分规则3</f>
        <v>1328.8333333333333</v>
      </c>
    </row>
    <row r="27" spans="2:19" ht="16.2" thickBot="1">
      <c r="B27" s="30" t="s">
        <v>41</v>
      </c>
      <c r="C27" s="5">
        <f>IFERROR(LOOKUP(D24,档位积分1:档位积分5,档位奖励1:档位奖励5),0)</f>
        <v>1</v>
      </c>
      <c r="D27" s="12">
        <f>C27*随机箱积分</f>
        <v>0</v>
      </c>
      <c r="E27" s="5">
        <f>IFERROR(LOOKUP(F24,档位积分1:档位积分5,档位奖励1:档位奖励5),0)+C27</f>
        <v>2</v>
      </c>
      <c r="F27" s="12">
        <f>E27*随机箱积分</f>
        <v>0</v>
      </c>
      <c r="G27" s="5">
        <f>IFERROR(LOOKUP(H24,档位积分1:档位积分5,档位奖励1:档位奖励5),0)+E27</f>
        <v>3</v>
      </c>
      <c r="H27" s="12">
        <f>G27*随机箱积分</f>
        <v>0</v>
      </c>
      <c r="I27" s="5">
        <f>IFERROR(LOOKUP(J24,档位积分1:档位积分5,档位奖励1:档位奖励5),0)+G27</f>
        <v>4</v>
      </c>
      <c r="J27" s="12">
        <f>I27*随机箱积分</f>
        <v>0</v>
      </c>
      <c r="K27" s="5">
        <f>IFERROR(LOOKUP(L24,档位积分1:档位积分5,档位奖励1:档位奖励5),0)+I27</f>
        <v>5</v>
      </c>
      <c r="L27" s="12">
        <f>K27*随机箱积分</f>
        <v>0</v>
      </c>
      <c r="M27" s="5">
        <f>IFERROR(LOOKUP(N24,档位积分1:档位积分5,档位奖励1:档位奖励5),0)+K27</f>
        <v>7</v>
      </c>
      <c r="N27" s="12">
        <f>M27*随机箱积分</f>
        <v>0</v>
      </c>
      <c r="O27" s="5">
        <f>IFERROR(LOOKUP(P24,档位积分1:档位积分5,档位奖励1:档位奖励5),0)+M27</f>
        <v>48</v>
      </c>
      <c r="P27" s="12">
        <f>O27*随机箱积分</f>
        <v>0</v>
      </c>
    </row>
    <row r="28" spans="2:19" ht="16.2" thickTop="1">
      <c r="B28" s="33" t="str">
        <f>普通兑换道具</f>
        <v>桂香糕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0</v>
      </c>
      <c r="N28" s="46"/>
      <c r="O28" s="45">
        <f>O17*普通兑换道具抽奖期望+M28</f>
        <v>1594.6</v>
      </c>
      <c r="P28" s="32"/>
    </row>
    <row r="29" spans="2:19" ht="16.2" thickBot="1">
      <c r="B29" s="34" t="str">
        <f>高级兑换道具</f>
        <v>月华糕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62.447999999999993</v>
      </c>
      <c r="P29" s="12"/>
    </row>
    <row r="30" spans="2:19" ht="16.8" thickTop="1" thickBot="1">
      <c r="B30" s="41" t="s">
        <v>97</v>
      </c>
      <c r="C30" s="55" t="str">
        <f>C7</f>
        <v>随机骰子</v>
      </c>
      <c r="D30" s="56" t="s">
        <v>96</v>
      </c>
      <c r="E30" s="55" t="str">
        <f>E7</f>
        <v>随机骰子</v>
      </c>
      <c r="F30" s="56" t="s">
        <v>96</v>
      </c>
      <c r="G30" s="55" t="str">
        <f>G7</f>
        <v>随机骰子</v>
      </c>
      <c r="H30" s="56" t="s">
        <v>96</v>
      </c>
      <c r="I30" s="55" t="str">
        <f>I7</f>
        <v>随机骰子</v>
      </c>
      <c r="J30" s="56" t="s">
        <v>96</v>
      </c>
      <c r="K30" s="55" t="str">
        <f>K7</f>
        <v>随机骰子</v>
      </c>
      <c r="L30" s="56" t="s">
        <v>96</v>
      </c>
      <c r="M30" s="55" t="str">
        <f>M7</f>
        <v>随机骰子</v>
      </c>
      <c r="N30" s="56" t="s">
        <v>96</v>
      </c>
      <c r="O30" s="55" t="str">
        <f>O7</f>
        <v>随机骰子</v>
      </c>
      <c r="P30" s="56" t="s">
        <v>96</v>
      </c>
    </row>
    <row r="31" spans="2:19" ht="16.2" customHeight="1" thickTop="1">
      <c r="B31" s="59" t="str">
        <f>抽奖道具 &amp; "礼包Ⅰ"</f>
        <v>随机骰子礼包Ⅰ</v>
      </c>
      <c r="C31" s="39">
        <f>抽奖道具礼包1</f>
        <v>30</v>
      </c>
      <c r="D31" s="24">
        <v>0</v>
      </c>
      <c r="E31" s="39">
        <f>抽奖道具礼包1</f>
        <v>30</v>
      </c>
      <c r="F31" s="24">
        <v>0</v>
      </c>
      <c r="G31" s="39">
        <f>抽奖道具礼包1</f>
        <v>30</v>
      </c>
      <c r="H31" s="24">
        <v>0</v>
      </c>
      <c r="I31" s="39">
        <f>抽奖道具礼包1</f>
        <v>30</v>
      </c>
      <c r="J31" s="24">
        <v>1</v>
      </c>
      <c r="K31" s="39">
        <f>抽奖道具礼包1</f>
        <v>30</v>
      </c>
      <c r="L31" s="24">
        <v>1</v>
      </c>
      <c r="M31" s="39">
        <f>抽奖道具礼包1</f>
        <v>30</v>
      </c>
      <c r="N31" s="24">
        <v>1</v>
      </c>
      <c r="O31" s="39">
        <f>抽奖道具礼包1</f>
        <v>30</v>
      </c>
      <c r="P31" s="24">
        <v>1</v>
      </c>
      <c r="R31" s="126" t="s">
        <v>183</v>
      </c>
    </row>
    <row r="32" spans="2:19">
      <c r="B32" s="99" t="str">
        <f>抽奖道具 &amp; "礼包Ⅱ"</f>
        <v>随机骰子礼包Ⅱ</v>
      </c>
      <c r="C32" s="39">
        <f>抽奖道具礼包2</f>
        <v>45</v>
      </c>
      <c r="D32" s="24">
        <v>0</v>
      </c>
      <c r="E32" s="39">
        <f>抽奖道具礼包2</f>
        <v>45</v>
      </c>
      <c r="F32" s="24">
        <v>0</v>
      </c>
      <c r="G32" s="39">
        <f>抽奖道具礼包2</f>
        <v>45</v>
      </c>
      <c r="H32" s="24">
        <v>0</v>
      </c>
      <c r="I32" s="39">
        <f>抽奖道具礼包2</f>
        <v>45</v>
      </c>
      <c r="J32" s="24">
        <v>0</v>
      </c>
      <c r="K32" s="39">
        <f>抽奖道具礼包2</f>
        <v>45</v>
      </c>
      <c r="L32" s="24">
        <v>0</v>
      </c>
      <c r="M32" s="39">
        <f>抽奖道具礼包2</f>
        <v>45</v>
      </c>
      <c r="N32" s="24">
        <v>1</v>
      </c>
      <c r="O32" s="39">
        <f>抽奖道具礼包2</f>
        <v>45</v>
      </c>
      <c r="P32" s="24">
        <v>1</v>
      </c>
      <c r="R32" s="127"/>
    </row>
    <row r="33" spans="2:18">
      <c r="B33" s="99" t="str">
        <f>抽奖道具 &amp; "礼包Ⅲ"</f>
        <v>随机骰子礼包Ⅲ</v>
      </c>
      <c r="C33" s="39">
        <f>抽奖道具礼包3</f>
        <v>90</v>
      </c>
      <c r="D33" s="24">
        <v>0</v>
      </c>
      <c r="E33" s="39">
        <f>抽奖道具礼包3</f>
        <v>90</v>
      </c>
      <c r="F33" s="24">
        <v>0</v>
      </c>
      <c r="G33" s="39">
        <f>抽奖道具礼包3</f>
        <v>90</v>
      </c>
      <c r="H33" s="24">
        <v>0</v>
      </c>
      <c r="I33" s="39">
        <f>抽奖道具礼包3</f>
        <v>90</v>
      </c>
      <c r="J33" s="24">
        <v>0</v>
      </c>
      <c r="K33" s="39">
        <f>抽奖道具礼包3</f>
        <v>90</v>
      </c>
      <c r="L33" s="24">
        <v>0</v>
      </c>
      <c r="M33" s="39">
        <f>抽奖道具礼包3</f>
        <v>90</v>
      </c>
      <c r="N33" s="24">
        <v>0</v>
      </c>
      <c r="O33" s="39">
        <f>抽奖道具礼包3</f>
        <v>90</v>
      </c>
      <c r="P33" s="24">
        <v>0</v>
      </c>
      <c r="R33" s="127"/>
    </row>
    <row r="34" spans="2:18">
      <c r="B34" s="99" t="str">
        <f>抽奖道具 &amp; "礼包Ⅳ"</f>
        <v>随机骰子礼包Ⅳ</v>
      </c>
      <c r="C34" s="39">
        <f>抽奖道具礼包4</f>
        <v>150</v>
      </c>
      <c r="D34" s="24">
        <v>0</v>
      </c>
      <c r="E34" s="39">
        <f>抽奖道具礼包4</f>
        <v>150</v>
      </c>
      <c r="F34" s="24">
        <v>0</v>
      </c>
      <c r="G34" s="39">
        <f>抽奖道具礼包4</f>
        <v>150</v>
      </c>
      <c r="H34" s="24">
        <v>0</v>
      </c>
      <c r="I34" s="39">
        <f>抽奖道具礼包4</f>
        <v>150</v>
      </c>
      <c r="J34" s="24">
        <v>0</v>
      </c>
      <c r="K34" s="39">
        <f>抽奖道具礼包4</f>
        <v>150</v>
      </c>
      <c r="L34" s="24">
        <v>0</v>
      </c>
      <c r="M34" s="39">
        <f>抽奖道具礼包4</f>
        <v>150</v>
      </c>
      <c r="N34" s="24">
        <v>0</v>
      </c>
      <c r="O34" s="39">
        <f>抽奖道具礼包4</f>
        <v>150</v>
      </c>
      <c r="P34" s="24">
        <v>0</v>
      </c>
      <c r="R34" s="127"/>
    </row>
    <row r="35" spans="2:18">
      <c r="B35" s="99" t="str">
        <f>抽奖道具 &amp; "礼包Ⅴ"</f>
        <v>随机骰子礼包Ⅴ</v>
      </c>
      <c r="C35" s="39">
        <f>抽奖道具礼包5</f>
        <v>270</v>
      </c>
      <c r="D35" s="24">
        <v>0</v>
      </c>
      <c r="E35" s="39">
        <f>抽奖道具礼包5</f>
        <v>270</v>
      </c>
      <c r="F35" s="24">
        <v>0</v>
      </c>
      <c r="G35" s="39">
        <f>抽奖道具礼包5</f>
        <v>270</v>
      </c>
      <c r="H35" s="24">
        <v>0</v>
      </c>
      <c r="I35" s="39">
        <f>抽奖道具礼包5</f>
        <v>270</v>
      </c>
      <c r="J35" s="24">
        <v>0</v>
      </c>
      <c r="K35" s="39">
        <f>抽奖道具礼包5</f>
        <v>270</v>
      </c>
      <c r="L35" s="24">
        <v>0</v>
      </c>
      <c r="M35" s="39">
        <f>抽奖道具礼包5</f>
        <v>270</v>
      </c>
      <c r="N35" s="24">
        <v>0</v>
      </c>
      <c r="O35" s="39">
        <f>抽奖道具礼包5</f>
        <v>270</v>
      </c>
      <c r="P35" s="24">
        <v>0</v>
      </c>
      <c r="R35" s="127"/>
    </row>
    <row r="36" spans="2:18">
      <c r="B36" s="99" t="str">
        <f>抽奖道具 &amp; "礼包Ⅵ"</f>
        <v>随机骰子礼包Ⅵ</v>
      </c>
      <c r="C36" s="39">
        <f>抽奖道具礼包6</f>
        <v>0</v>
      </c>
      <c r="D36" s="24">
        <v>0</v>
      </c>
      <c r="E36" s="39">
        <f>抽奖道具礼包6</f>
        <v>0</v>
      </c>
      <c r="F36" s="24">
        <v>0</v>
      </c>
      <c r="G36" s="39">
        <f>抽奖道具礼包6</f>
        <v>0</v>
      </c>
      <c r="H36" s="24">
        <v>0</v>
      </c>
      <c r="I36" s="39">
        <f>抽奖道具礼包6</f>
        <v>0</v>
      </c>
      <c r="J36" s="24">
        <v>0</v>
      </c>
      <c r="K36" s="39">
        <f>抽奖道具礼包6</f>
        <v>0</v>
      </c>
      <c r="L36" s="24">
        <v>0</v>
      </c>
      <c r="M36" s="39">
        <f>抽奖道具礼包6</f>
        <v>0</v>
      </c>
      <c r="N36" s="24">
        <v>0</v>
      </c>
      <c r="O36" s="39">
        <f>抽奖道具礼包6</f>
        <v>0</v>
      </c>
      <c r="P36" s="24">
        <v>0</v>
      </c>
      <c r="R36" s="127"/>
    </row>
    <row r="37" spans="2:18" ht="16.2" thickBot="1">
      <c r="B37" s="100" t="str">
        <f>抽奖道具 &amp; "礼包Ⅶ"</f>
        <v>随机骰子礼包Ⅶ</v>
      </c>
      <c r="C37" s="57">
        <f>抽奖道具礼包7</f>
        <v>0</v>
      </c>
      <c r="D37" s="12">
        <v>0</v>
      </c>
      <c r="E37" s="57">
        <f>抽奖道具礼包7</f>
        <v>0</v>
      </c>
      <c r="F37" s="12">
        <v>0</v>
      </c>
      <c r="G37" s="57">
        <f>抽奖道具礼包7</f>
        <v>0</v>
      </c>
      <c r="H37" s="12">
        <v>0</v>
      </c>
      <c r="I37" s="57">
        <f>抽奖道具礼包7</f>
        <v>0</v>
      </c>
      <c r="J37" s="12">
        <v>0</v>
      </c>
      <c r="K37" s="57">
        <f>抽奖道具礼包7</f>
        <v>0</v>
      </c>
      <c r="L37" s="12">
        <v>0</v>
      </c>
      <c r="M37" s="57">
        <f>抽奖道具礼包7</f>
        <v>0</v>
      </c>
      <c r="N37" s="12">
        <v>0</v>
      </c>
      <c r="O37" s="57">
        <f>抽奖道具礼包7</f>
        <v>0</v>
      </c>
      <c r="P37" s="12">
        <v>0</v>
      </c>
      <c r="R37" s="127"/>
    </row>
    <row r="38" spans="2:18" ht="16.8" thickTop="1" thickBot="1">
      <c r="B38" s="39" t="s">
        <v>97</v>
      </c>
      <c r="C38" s="55" t="str">
        <f>高级兑换道具</f>
        <v>月华糕</v>
      </c>
      <c r="D38" s="56" t="s">
        <v>96</v>
      </c>
      <c r="E38" s="55" t="str">
        <f>高级兑换道具</f>
        <v>月华糕</v>
      </c>
      <c r="F38" s="56" t="s">
        <v>96</v>
      </c>
      <c r="G38" s="55" t="str">
        <f>高级兑换道具</f>
        <v>月华糕</v>
      </c>
      <c r="H38" s="56" t="s">
        <v>96</v>
      </c>
      <c r="I38" s="55" t="str">
        <f>高级兑换道具</f>
        <v>月华糕</v>
      </c>
      <c r="J38" s="56" t="s">
        <v>96</v>
      </c>
      <c r="K38" s="55" t="str">
        <f>高级兑换道具</f>
        <v>月华糕</v>
      </c>
      <c r="L38" s="56" t="s">
        <v>96</v>
      </c>
      <c r="M38" s="55" t="str">
        <f>高级兑换道具</f>
        <v>月华糕</v>
      </c>
      <c r="N38" s="56" t="s">
        <v>96</v>
      </c>
      <c r="O38" s="55" t="str">
        <f>高级兑换道具</f>
        <v>月华糕</v>
      </c>
      <c r="P38" s="56" t="s">
        <v>96</v>
      </c>
      <c r="R38" s="127"/>
    </row>
    <row r="39" spans="2:18" ht="16.2" customHeight="1" thickTop="1">
      <c r="B39" s="91" t="str">
        <f>高级兑换道具 &amp; "礼包Ⅰ"</f>
        <v>月华糕礼包Ⅰ</v>
      </c>
      <c r="C39" s="18">
        <f>高级兑换道具礼包1</f>
        <v>2</v>
      </c>
      <c r="D39" s="32">
        <v>0</v>
      </c>
      <c r="E39" s="18">
        <f>高级兑换道具礼包1</f>
        <v>2</v>
      </c>
      <c r="F39" s="32">
        <v>0</v>
      </c>
      <c r="G39" s="18">
        <f>高级兑换道具礼包1</f>
        <v>2</v>
      </c>
      <c r="H39" s="32">
        <v>0</v>
      </c>
      <c r="I39" s="18">
        <f>高级兑换道具礼包1</f>
        <v>2</v>
      </c>
      <c r="J39" s="32">
        <v>0</v>
      </c>
      <c r="K39" s="18">
        <f>高级兑换道具礼包1</f>
        <v>2</v>
      </c>
      <c r="L39" s="32">
        <v>0</v>
      </c>
      <c r="M39" s="18">
        <f>高级兑换道具礼包1</f>
        <v>2</v>
      </c>
      <c r="N39" s="32">
        <v>0</v>
      </c>
      <c r="O39" s="18">
        <f>高级兑换道具礼包1</f>
        <v>2</v>
      </c>
      <c r="P39" s="32">
        <v>1</v>
      </c>
      <c r="R39" s="127"/>
    </row>
    <row r="40" spans="2:18">
      <c r="B40" s="92" t="str">
        <f>高级兑换道具 &amp; "礼包Ⅱ"</f>
        <v>月华糕礼包Ⅱ</v>
      </c>
      <c r="C40" s="39">
        <f>高级兑换道具礼包2</f>
        <v>4</v>
      </c>
      <c r="D40" s="4">
        <v>0</v>
      </c>
      <c r="E40" s="39">
        <f>高级兑换道具礼包2</f>
        <v>4</v>
      </c>
      <c r="F40" s="4">
        <v>0</v>
      </c>
      <c r="G40" s="39">
        <f>高级兑换道具礼包2</f>
        <v>4</v>
      </c>
      <c r="H40" s="4">
        <v>0</v>
      </c>
      <c r="I40" s="39">
        <f>高级兑换道具礼包2</f>
        <v>4</v>
      </c>
      <c r="J40" s="4">
        <v>0</v>
      </c>
      <c r="K40" s="39">
        <f>高级兑换道具礼包2</f>
        <v>4</v>
      </c>
      <c r="L40" s="4">
        <v>0</v>
      </c>
      <c r="M40" s="39">
        <f>高级兑换道具礼包2</f>
        <v>4</v>
      </c>
      <c r="N40" s="4">
        <v>0</v>
      </c>
      <c r="O40" s="39">
        <f>高级兑换道具礼包2</f>
        <v>4</v>
      </c>
      <c r="P40" s="4">
        <v>0</v>
      </c>
      <c r="R40" s="127"/>
    </row>
    <row r="41" spans="2:18">
      <c r="B41" s="92" t="str">
        <f>高级兑换道具 &amp; "礼包Ⅲ"</f>
        <v>月华糕礼包Ⅲ</v>
      </c>
      <c r="C41" s="39">
        <f>高级兑换道具礼包3</f>
        <v>10</v>
      </c>
      <c r="D41" s="4">
        <v>0</v>
      </c>
      <c r="E41" s="39">
        <f>高级兑换道具礼包3</f>
        <v>10</v>
      </c>
      <c r="F41" s="4">
        <v>0</v>
      </c>
      <c r="G41" s="39">
        <f>高级兑换道具礼包3</f>
        <v>10</v>
      </c>
      <c r="H41" s="4">
        <v>0</v>
      </c>
      <c r="I41" s="39">
        <f>高级兑换道具礼包3</f>
        <v>10</v>
      </c>
      <c r="J41" s="4">
        <v>0</v>
      </c>
      <c r="K41" s="39">
        <f>高级兑换道具礼包3</f>
        <v>10</v>
      </c>
      <c r="L41" s="4">
        <v>0</v>
      </c>
      <c r="M41" s="39">
        <f>高级兑换道具礼包3</f>
        <v>10</v>
      </c>
      <c r="N41" s="4">
        <v>0</v>
      </c>
      <c r="O41" s="39">
        <f>高级兑换道具礼包3</f>
        <v>10</v>
      </c>
      <c r="P41" s="4">
        <v>1</v>
      </c>
      <c r="R41" s="127"/>
    </row>
    <row r="42" spans="2:18" ht="16.2" thickBot="1">
      <c r="B42" s="93" t="str">
        <f>高级兑换道具 &amp; "礼包Ⅳ"</f>
        <v>月华糕礼包Ⅳ</v>
      </c>
      <c r="C42" s="57">
        <f>高级兑换道具礼包4</f>
        <v>20</v>
      </c>
      <c r="D42" s="12">
        <v>0</v>
      </c>
      <c r="E42" s="57">
        <f>高级兑换道具礼包4</f>
        <v>20</v>
      </c>
      <c r="F42" s="12">
        <v>0</v>
      </c>
      <c r="G42" s="57">
        <f>高级兑换道具礼包4</f>
        <v>20</v>
      </c>
      <c r="H42" s="12">
        <v>0</v>
      </c>
      <c r="I42" s="57">
        <f>高级兑换道具礼包4</f>
        <v>20</v>
      </c>
      <c r="J42" s="12">
        <v>0</v>
      </c>
      <c r="K42" s="57">
        <f>高级兑换道具礼包4</f>
        <v>20</v>
      </c>
      <c r="L42" s="12">
        <v>0</v>
      </c>
      <c r="M42" s="57">
        <f>高级兑换道具礼包4</f>
        <v>20</v>
      </c>
      <c r="N42" s="12">
        <v>0</v>
      </c>
      <c r="O42" s="57">
        <f>高级兑换道具礼包4</f>
        <v>20</v>
      </c>
      <c r="P42" s="12">
        <v>0</v>
      </c>
      <c r="R42" s="127"/>
    </row>
    <row r="43" spans="2:18" ht="16.8" thickTop="1" thickBot="1">
      <c r="B43" s="129" t="s">
        <v>149</v>
      </c>
      <c r="C43" s="57" t="s">
        <v>152</v>
      </c>
      <c r="D43" s="12">
        <v>0</v>
      </c>
      <c r="E43" s="57" t="s">
        <v>152</v>
      </c>
      <c r="F43" s="12">
        <v>0</v>
      </c>
      <c r="G43" s="57" t="s">
        <v>152</v>
      </c>
      <c r="H43" s="12">
        <v>0</v>
      </c>
      <c r="I43" s="57" t="s">
        <v>152</v>
      </c>
      <c r="J43" s="12">
        <v>0</v>
      </c>
      <c r="K43" s="57" t="s">
        <v>152</v>
      </c>
      <c r="L43" s="12">
        <v>0</v>
      </c>
      <c r="M43" s="57" t="s">
        <v>152</v>
      </c>
      <c r="N43" s="12">
        <v>0</v>
      </c>
      <c r="O43" s="57" t="s">
        <v>152</v>
      </c>
      <c r="P43" s="12">
        <v>1</v>
      </c>
      <c r="R43" s="127"/>
    </row>
    <row r="44" spans="2:18" ht="16.8" thickTop="1" thickBot="1">
      <c r="B44" s="130"/>
      <c r="C44" s="67" t="s">
        <v>151</v>
      </c>
      <c r="D44" s="68">
        <v>0</v>
      </c>
      <c r="E44" s="67" t="s">
        <v>151</v>
      </c>
      <c r="F44" s="68">
        <v>0</v>
      </c>
      <c r="G44" s="67" t="s">
        <v>151</v>
      </c>
      <c r="H44" s="68">
        <v>0</v>
      </c>
      <c r="I44" s="67" t="s">
        <v>151</v>
      </c>
      <c r="J44" s="68">
        <v>0</v>
      </c>
      <c r="K44" s="67" t="s">
        <v>151</v>
      </c>
      <c r="L44" s="68">
        <v>0</v>
      </c>
      <c r="M44" s="67" t="s">
        <v>151</v>
      </c>
      <c r="N44" s="68">
        <v>0</v>
      </c>
      <c r="O44" s="67" t="s">
        <v>151</v>
      </c>
      <c r="P44" s="68">
        <v>1</v>
      </c>
      <c r="R44" s="128"/>
    </row>
    <row r="45" spans="2:18" ht="23.4" customHeight="1" thickTop="1" thickBot="1">
      <c r="B45" s="96" t="s">
        <v>155</v>
      </c>
      <c r="C45" s="131"/>
      <c r="D45" s="132"/>
      <c r="E45" s="133"/>
      <c r="F45" s="132"/>
      <c r="G45" s="133"/>
      <c r="H45" s="132"/>
      <c r="I45" s="133" t="s">
        <v>193</v>
      </c>
      <c r="J45" s="132"/>
      <c r="K45" s="133" t="s">
        <v>193</v>
      </c>
      <c r="L45" s="132"/>
      <c r="M45" s="133" t="s">
        <v>193</v>
      </c>
      <c r="N45" s="132"/>
      <c r="O45" s="133" t="s">
        <v>161</v>
      </c>
      <c r="P45" s="132"/>
      <c r="R45" s="98" t="s">
        <v>180</v>
      </c>
    </row>
    <row r="46" spans="2:18" ht="30" customHeight="1" thickTop="1">
      <c r="B46" s="94" t="s">
        <v>156</v>
      </c>
      <c r="C46" s="137" t="s">
        <v>162</v>
      </c>
      <c r="D46" s="135"/>
      <c r="E46" s="137" t="s">
        <v>162</v>
      </c>
      <c r="F46" s="135"/>
      <c r="G46" s="137" t="s">
        <v>162</v>
      </c>
      <c r="H46" s="135"/>
      <c r="I46" s="137" t="s">
        <v>162</v>
      </c>
      <c r="J46" s="135"/>
      <c r="K46" s="137" t="s">
        <v>162</v>
      </c>
      <c r="L46" s="135"/>
      <c r="M46" s="137" t="s">
        <v>162</v>
      </c>
      <c r="N46" s="135"/>
      <c r="O46" s="137" t="s">
        <v>162</v>
      </c>
      <c r="P46" s="135"/>
      <c r="R46" s="126" t="s">
        <v>181</v>
      </c>
    </row>
    <row r="47" spans="2:18" ht="30" customHeight="1">
      <c r="B47" s="94" t="s">
        <v>157</v>
      </c>
      <c r="C47" s="136" t="s">
        <v>163</v>
      </c>
      <c r="D47" s="105"/>
      <c r="E47" s="136" t="s">
        <v>163</v>
      </c>
      <c r="F47" s="105"/>
      <c r="G47" s="136" t="s">
        <v>163</v>
      </c>
      <c r="H47" s="105"/>
      <c r="I47" s="136" t="s">
        <v>163</v>
      </c>
      <c r="J47" s="105"/>
      <c r="K47" s="136" t="s">
        <v>163</v>
      </c>
      <c r="L47" s="105"/>
      <c r="M47" s="136" t="s">
        <v>163</v>
      </c>
      <c r="N47" s="105"/>
      <c r="O47" s="136" t="s">
        <v>163</v>
      </c>
      <c r="P47" s="105"/>
      <c r="R47" s="127"/>
    </row>
    <row r="48" spans="2:18" ht="30" customHeight="1">
      <c r="B48" s="94" t="s">
        <v>158</v>
      </c>
      <c r="C48" s="137" t="s">
        <v>164</v>
      </c>
      <c r="D48" s="135"/>
      <c r="E48" s="137" t="s">
        <v>164</v>
      </c>
      <c r="F48" s="135"/>
      <c r="G48" s="137" t="s">
        <v>164</v>
      </c>
      <c r="H48" s="135"/>
      <c r="I48" s="137" t="s">
        <v>164</v>
      </c>
      <c r="J48" s="135"/>
      <c r="K48" s="137" t="s">
        <v>164</v>
      </c>
      <c r="L48" s="135"/>
      <c r="M48" s="137" t="s">
        <v>164</v>
      </c>
      <c r="N48" s="135"/>
      <c r="O48" s="137" t="s">
        <v>197</v>
      </c>
      <c r="P48" s="135"/>
      <c r="R48" s="127"/>
    </row>
    <row r="49" spans="2:19" ht="30" customHeight="1">
      <c r="B49" s="94" t="s">
        <v>159</v>
      </c>
      <c r="C49" s="137"/>
      <c r="D49" s="135"/>
      <c r="E49" s="137"/>
      <c r="F49" s="135"/>
      <c r="G49" s="137"/>
      <c r="H49" s="135"/>
      <c r="I49" s="137" t="s">
        <v>188</v>
      </c>
      <c r="J49" s="135"/>
      <c r="K49" s="137" t="s">
        <v>188</v>
      </c>
      <c r="L49" s="135"/>
      <c r="M49" s="137" t="s">
        <v>195</v>
      </c>
      <c r="N49" s="135"/>
      <c r="O49" s="137" t="s">
        <v>191</v>
      </c>
      <c r="P49" s="135"/>
      <c r="R49" s="127"/>
    </row>
    <row r="50" spans="2:19" ht="30" customHeight="1" thickBot="1">
      <c r="B50" s="97" t="s">
        <v>160</v>
      </c>
      <c r="C50" s="137"/>
      <c r="D50" s="135"/>
      <c r="E50" s="137"/>
      <c r="F50" s="135"/>
      <c r="G50" s="137"/>
      <c r="H50" s="135"/>
      <c r="I50" s="137"/>
      <c r="J50" s="135"/>
      <c r="K50" s="137"/>
      <c r="L50" s="135"/>
      <c r="M50" s="137"/>
      <c r="N50" s="135"/>
      <c r="O50" s="137" t="s">
        <v>198</v>
      </c>
      <c r="P50" s="135"/>
      <c r="Q50" s="23"/>
      <c r="R50" s="128"/>
      <c r="S50" s="23"/>
    </row>
    <row r="51" spans="2:19" ht="17.399999999999999" thickTop="1" thickBot="1">
      <c r="B51" s="139" t="s">
        <v>34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76"/>
      <c r="R51" s="6"/>
      <c r="S51" s="6"/>
    </row>
    <row r="52" spans="2:19" ht="19.95" customHeight="1" thickTop="1" thickBot="1">
      <c r="B52" s="143" t="s">
        <v>233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R52" s="126" t="s">
        <v>182</v>
      </c>
      <c r="S52" s="6"/>
    </row>
    <row r="53" spans="2:19" ht="19.95" customHeight="1" thickTop="1" thickBot="1">
      <c r="B53" s="14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R53" s="127"/>
      <c r="S53" s="6"/>
    </row>
    <row r="54" spans="2:19" ht="19.95" customHeight="1" thickTop="1" thickBot="1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5"/>
      <c r="R54" s="127"/>
      <c r="S54" s="6"/>
    </row>
    <row r="55" spans="2:19" ht="19.95" customHeight="1" thickTop="1" thickBot="1">
      <c r="B55" s="14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5"/>
      <c r="R55" s="128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95"/>
      <c r="C57" s="95"/>
      <c r="D57" s="95"/>
      <c r="K57" s="138"/>
      <c r="L57" s="138"/>
      <c r="M57" s="138"/>
      <c r="N57" s="138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95"/>
      <c r="C61" s="95"/>
      <c r="D61" s="95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B2:P2"/>
    <mergeCell ref="B3:B4"/>
    <mergeCell ref="C3:H3"/>
    <mergeCell ref="I3:L3"/>
    <mergeCell ref="M3:P3"/>
    <mergeCell ref="C4:P4"/>
    <mergeCell ref="C5:P5"/>
    <mergeCell ref="C6:D6"/>
    <mergeCell ref="E6:F6"/>
    <mergeCell ref="G6:H6"/>
    <mergeCell ref="I6:J6"/>
    <mergeCell ref="K6:L6"/>
    <mergeCell ref="M6:N6"/>
    <mergeCell ref="O6:P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E48:F48"/>
    <mergeCell ref="G48:H48"/>
    <mergeCell ref="I48:J48"/>
    <mergeCell ref="K48:L48"/>
    <mergeCell ref="M48:N48"/>
    <mergeCell ref="C49:D49"/>
    <mergeCell ref="E49:F49"/>
    <mergeCell ref="G49:H49"/>
    <mergeCell ref="I49:J49"/>
    <mergeCell ref="K49:L49"/>
    <mergeCell ref="K57:N57"/>
    <mergeCell ref="M49:N49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</mergeCells>
  <phoneticPr fontId="7" type="noConversion"/>
  <conditionalFormatting sqref="B10:P10">
    <cfRule type="cellIs" dxfId="35" priority="9" operator="greaterThan">
      <formula>0</formula>
    </cfRule>
  </conditionalFormatting>
  <conditionalFormatting sqref="B13:P13">
    <cfRule type="cellIs" dxfId="34" priority="3" operator="greaterThan">
      <formula>0</formula>
    </cfRule>
  </conditionalFormatting>
  <conditionalFormatting sqref="B14:P14">
    <cfRule type="cellIs" dxfId="33" priority="6" operator="greaterThan">
      <formula>0</formula>
    </cfRule>
  </conditionalFormatting>
  <conditionalFormatting sqref="C11:P11">
    <cfRule type="cellIs" dxfId="32" priority="7" operator="greaterThan">
      <formula>0</formula>
    </cfRule>
  </conditionalFormatting>
  <conditionalFormatting sqref="C15:P15 D31:D37 F31:F37 H31:H37 J31:J37 L31:L37 N31:N37 P31:P37">
    <cfRule type="cellIs" dxfId="31" priority="5" operator="greaterThan">
      <formula>0</formula>
    </cfRule>
  </conditionalFormatting>
  <conditionalFormatting sqref="C15:P16">
    <cfRule type="cellIs" dxfId="30" priority="8" operator="greaterThan">
      <formula>0</formula>
    </cfRule>
  </conditionalFormatting>
  <conditionalFormatting sqref="C17:P17">
    <cfRule type="cellIs" dxfId="29" priority="12" operator="greaterThan">
      <formula>0</formula>
    </cfRule>
  </conditionalFormatting>
  <conditionalFormatting sqref="C19:P19">
    <cfRule type="cellIs" dxfId="28" priority="10" operator="greaterThan">
      <formula>0</formula>
    </cfRule>
  </conditionalFormatting>
  <conditionalFormatting sqref="C21:P21">
    <cfRule type="cellIs" dxfId="27" priority="11" operator="greaterThan">
      <formula>0</formula>
    </cfRule>
  </conditionalFormatting>
  <conditionalFormatting sqref="C22:P22 D39:D42 F39:F42 H39:H42 J39:J42 L39:L42 N39:N42 P39:P42">
    <cfRule type="cellIs" dxfId="26" priority="4" operator="greaterThan">
      <formula>0</formula>
    </cfRule>
  </conditionalFormatting>
  <conditionalFormatting sqref="D43 F43 H43 J43 L43 N43 P43">
    <cfRule type="cellIs" dxfId="25" priority="1" operator="greaterThan">
      <formula>0</formula>
    </cfRule>
  </conditionalFormatting>
  <conditionalFormatting sqref="D44 F44 H44 J44 L44 N44 P44">
    <cfRule type="cellIs" dxfId="24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5297-3C00-4428-9EC1-F5743CADC1BF}">
  <dimension ref="B1:T81"/>
  <sheetViews>
    <sheetView topLeftCell="A46" zoomScaleNormal="100" workbookViewId="0">
      <selection activeCell="I60" sqref="I60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170</v>
      </c>
      <c r="S1" s="1" t="s">
        <v>184</v>
      </c>
    </row>
    <row r="2" spans="2:20" ht="28.2" customHeight="1" thickTop="1" thickBot="1">
      <c r="B2" s="106" t="s">
        <v>200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8"/>
      <c r="R2" s="98" t="s">
        <v>169</v>
      </c>
    </row>
    <row r="3" spans="2:20" ht="24" thickTop="1">
      <c r="B3" s="109" t="s">
        <v>94</v>
      </c>
      <c r="C3" s="111" t="str">
        <f>SUM(C10,E10,G10,I10,K10,M10,O10)*钻石购买 &amp;"钻石"</f>
        <v>49000钻石</v>
      </c>
      <c r="D3" s="112"/>
      <c r="E3" s="112"/>
      <c r="F3" s="112"/>
      <c r="G3" s="112"/>
      <c r="H3" s="112"/>
      <c r="I3" s="113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1368元</v>
      </c>
      <c r="J3" s="113"/>
      <c r="K3" s="113"/>
      <c r="L3" s="113"/>
      <c r="M3" s="114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21000翡翠</v>
      </c>
      <c r="N3" s="114"/>
      <c r="O3" s="114"/>
      <c r="P3" s="115"/>
    </row>
    <row r="4" spans="2:20" ht="21" thickBot="1">
      <c r="B4" s="110"/>
      <c r="C4" s="116" t="str">
        <f>"最终收益："&amp;ROUNDDOWN(O29,0)&amp;B29&amp;"+"&amp;ROUNDDOWN(O28,0)&amp;B28</f>
        <v>最终收益：82月华糕+1594桂香糕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2:20" ht="21.6" thickTop="1" thickBot="1">
      <c r="B5" s="30" t="s">
        <v>153</v>
      </c>
      <c r="C5" s="119" t="s">
        <v>201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98" t="s">
        <v>153</v>
      </c>
    </row>
    <row r="6" spans="2:20" ht="16.8" thickTop="1" thickBot="1">
      <c r="B6" s="66" t="s">
        <v>93</v>
      </c>
      <c r="C6" s="122" t="s">
        <v>24</v>
      </c>
      <c r="D6" s="123"/>
      <c r="E6" s="122" t="s">
        <v>25</v>
      </c>
      <c r="F6" s="123"/>
      <c r="G6" s="122" t="s">
        <v>26</v>
      </c>
      <c r="H6" s="123"/>
      <c r="I6" s="122" t="s">
        <v>27</v>
      </c>
      <c r="J6" s="123"/>
      <c r="K6" s="122" t="s">
        <v>28</v>
      </c>
      <c r="L6" s="123"/>
      <c r="M6" s="122" t="s">
        <v>29</v>
      </c>
      <c r="N6" s="123"/>
      <c r="O6" s="122" t="s">
        <v>30</v>
      </c>
      <c r="P6" s="123"/>
      <c r="R6" s="6"/>
      <c r="S6" s="23"/>
      <c r="T6" s="23"/>
    </row>
    <row r="7" spans="2:20" ht="16.8" thickTop="1" thickBot="1">
      <c r="B7" s="13" t="s">
        <v>95</v>
      </c>
      <c r="C7" s="67" t="str">
        <f>抽奖道具</f>
        <v>随机骰子</v>
      </c>
      <c r="D7" s="68" t="s">
        <v>6</v>
      </c>
      <c r="E7" s="67" t="str">
        <f>抽奖道具</f>
        <v>随机骰子</v>
      </c>
      <c r="F7" s="68" t="s">
        <v>6</v>
      </c>
      <c r="G7" s="67" t="str">
        <f>抽奖道具</f>
        <v>随机骰子</v>
      </c>
      <c r="H7" s="68" t="s">
        <v>6</v>
      </c>
      <c r="I7" s="67" t="str">
        <f>抽奖道具</f>
        <v>随机骰子</v>
      </c>
      <c r="J7" s="68" t="s">
        <v>6</v>
      </c>
      <c r="K7" s="67" t="str">
        <f>抽奖道具</f>
        <v>随机骰子</v>
      </c>
      <c r="L7" s="68" t="s">
        <v>6</v>
      </c>
      <c r="M7" s="67" t="str">
        <f>抽奖道具</f>
        <v>随机骰子</v>
      </c>
      <c r="N7" s="68" t="s">
        <v>6</v>
      </c>
      <c r="O7" s="67" t="str">
        <f>抽奖道具</f>
        <v>随机骰子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0</v>
      </c>
      <c r="D8" s="4">
        <f t="shared" ref="D8:P16" si="0">C8*积分规则1</f>
        <v>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30</v>
      </c>
      <c r="D9" s="4">
        <f t="shared" si="0"/>
        <v>60</v>
      </c>
      <c r="E9" s="3">
        <f>每日任务抽奖道具数量</f>
        <v>30</v>
      </c>
      <c r="F9" s="4">
        <f t="shared" si="1"/>
        <v>60</v>
      </c>
      <c r="G9" s="3">
        <f>每日任务抽奖道具数量</f>
        <v>30</v>
      </c>
      <c r="H9" s="4">
        <f t="shared" si="2"/>
        <v>60</v>
      </c>
      <c r="I9" s="3">
        <f>每日任务抽奖道具数量</f>
        <v>30</v>
      </c>
      <c r="J9" s="4">
        <f t="shared" si="3"/>
        <v>60</v>
      </c>
      <c r="K9" s="3">
        <f>每日任务抽奖道具数量</f>
        <v>30</v>
      </c>
      <c r="L9" s="4">
        <f t="shared" si="4"/>
        <v>60</v>
      </c>
      <c r="M9" s="3">
        <f>每日任务抽奖道具数量</f>
        <v>30</v>
      </c>
      <c r="N9" s="4">
        <f t="shared" si="5"/>
        <v>60</v>
      </c>
      <c r="O9" s="3">
        <f>每日任务抽奖道具数量</f>
        <v>30</v>
      </c>
      <c r="P9" s="4">
        <f t="shared" si="6"/>
        <v>60</v>
      </c>
    </row>
    <row r="10" spans="2:20" ht="16.8" thickTop="1" thickBot="1">
      <c r="B10" s="14" t="s">
        <v>17</v>
      </c>
      <c r="C10" s="3">
        <v>70</v>
      </c>
      <c r="D10" s="4">
        <f t="shared" si="0"/>
        <v>140</v>
      </c>
      <c r="E10" s="3">
        <v>70</v>
      </c>
      <c r="F10" s="4">
        <f t="shared" si="1"/>
        <v>140</v>
      </c>
      <c r="G10" s="3">
        <v>70</v>
      </c>
      <c r="H10" s="4">
        <f t="shared" si="2"/>
        <v>140</v>
      </c>
      <c r="I10" s="3">
        <v>70</v>
      </c>
      <c r="J10" s="4">
        <f t="shared" si="3"/>
        <v>140</v>
      </c>
      <c r="K10" s="3">
        <v>70</v>
      </c>
      <c r="L10" s="4">
        <f t="shared" si="4"/>
        <v>140</v>
      </c>
      <c r="M10" s="3">
        <v>70</v>
      </c>
      <c r="N10" s="4">
        <f t="shared" si="5"/>
        <v>140</v>
      </c>
      <c r="O10" s="3">
        <v>70</v>
      </c>
      <c r="P10" s="4">
        <f t="shared" si="6"/>
        <v>140</v>
      </c>
      <c r="R10" s="98" t="s">
        <v>176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75</v>
      </c>
      <c r="P11" s="4">
        <f t="shared" si="6"/>
        <v>150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2</v>
      </c>
      <c r="D13" s="4">
        <f t="shared" si="0"/>
        <v>4</v>
      </c>
      <c r="E13" s="3">
        <f>每日广告抽奖道具数量</f>
        <v>2</v>
      </c>
      <c r="F13" s="4">
        <f t="shared" si="0"/>
        <v>4</v>
      </c>
      <c r="G13" s="3">
        <f>每日广告抽奖道具数量</f>
        <v>2</v>
      </c>
      <c r="H13" s="4">
        <f t="shared" si="0"/>
        <v>4</v>
      </c>
      <c r="I13" s="3">
        <f>每日广告抽奖道具数量</f>
        <v>2</v>
      </c>
      <c r="J13" s="4">
        <f t="shared" si="0"/>
        <v>4</v>
      </c>
      <c r="K13" s="3">
        <f>每日广告抽奖道具数量</f>
        <v>2</v>
      </c>
      <c r="L13" s="4">
        <f t="shared" si="0"/>
        <v>4</v>
      </c>
      <c r="M13" s="3">
        <f>每日广告抽奖道具数量</f>
        <v>2</v>
      </c>
      <c r="N13" s="4">
        <f t="shared" si="0"/>
        <v>4</v>
      </c>
      <c r="O13" s="3">
        <f>每日广告抽奖道具数量</f>
        <v>2</v>
      </c>
      <c r="P13" s="4">
        <f t="shared" si="0"/>
        <v>4</v>
      </c>
    </row>
    <row r="14" spans="2:20" ht="16.2" thickBot="1">
      <c r="B14" s="34" t="s">
        <v>73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30</v>
      </c>
      <c r="J15" s="4">
        <f t="shared" si="3"/>
        <v>60</v>
      </c>
      <c r="K15" s="3">
        <f>SUM(L31*抽奖道具礼包1,L32*抽奖道具礼包2,L33*抽奖道具礼包3,L34*抽奖道具礼包4,L35*抽奖道具礼包5,L36*抽奖道具礼包6,L37*抽奖道具礼包7)</f>
        <v>30</v>
      </c>
      <c r="L15" s="4">
        <f t="shared" si="4"/>
        <v>60</v>
      </c>
      <c r="M15" s="3">
        <f>SUM(N31*抽奖道具礼包1,N32*抽奖道具礼包2,N33*抽奖道具礼包3,N34*抽奖道具礼包4,N35*抽奖道具礼包5,N36*抽奖道具礼包6,N37*抽奖道具礼包7)</f>
        <v>75</v>
      </c>
      <c r="N15" s="4">
        <f t="shared" si="5"/>
        <v>150</v>
      </c>
      <c r="O15" s="3">
        <f>SUM(P31*抽奖道具礼包1,P32*抽奖道具礼包2,P33*抽奖道具礼包3,P34*抽奖道具礼包4,P35*抽奖道具礼包5,P36*抽奖道具礼包6,P37*抽奖道具礼包7)</f>
        <v>75</v>
      </c>
      <c r="P15" s="4">
        <f t="shared" si="6"/>
        <v>150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140</v>
      </c>
      <c r="P16" s="4">
        <f t="shared" si="6"/>
        <v>280</v>
      </c>
    </row>
    <row r="17" spans="2:19" ht="16.8" thickTop="1" thickBot="1">
      <c r="B17" s="40" t="str">
        <f>"使用"&amp;抽奖道具</f>
        <v>使用随机骰子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0</v>
      </c>
      <c r="N17" s="4">
        <f>M17*积分规则3</f>
        <v>0</v>
      </c>
      <c r="O17" s="3">
        <v>1139</v>
      </c>
      <c r="P17" s="4">
        <f>O17*积分规则3</f>
        <v>1328.8333333333333</v>
      </c>
      <c r="R17" s="98" t="s">
        <v>175</v>
      </c>
    </row>
    <row r="18" spans="2:19" ht="16.8" thickTop="1" thickBot="1">
      <c r="B18" s="36" t="str">
        <f>"剩余"&amp;抽奖道具</f>
        <v>剩余随机骰子</v>
      </c>
      <c r="C18" s="3">
        <f>C26-C17</f>
        <v>102</v>
      </c>
      <c r="D18" s="87">
        <f>C18*积分规则3</f>
        <v>118.99999999999999</v>
      </c>
      <c r="E18" s="3">
        <f>C18+SUM(E8:E16)-E17</f>
        <v>204</v>
      </c>
      <c r="F18" s="87">
        <f>E18*积分规则3</f>
        <v>237.99999999999997</v>
      </c>
      <c r="G18" s="3">
        <f>E18+SUM(G8:G16)-G17</f>
        <v>306</v>
      </c>
      <c r="H18" s="87">
        <f>G18*积分规则3</f>
        <v>356.99999999999994</v>
      </c>
      <c r="I18" s="3">
        <f>G18+SUM(I8:I16)-I17</f>
        <v>438</v>
      </c>
      <c r="J18" s="87">
        <f>I18*积分规则3</f>
        <v>510.99999999999994</v>
      </c>
      <c r="K18" s="3">
        <f>I18+SUM(K8:K16)-K17</f>
        <v>570</v>
      </c>
      <c r="L18" s="87">
        <f>K18*积分规则3</f>
        <v>664.99999999999989</v>
      </c>
      <c r="M18" s="3">
        <f>K18+SUM(M8:M16)-M17</f>
        <v>747</v>
      </c>
      <c r="N18" s="87">
        <f>M18*积分规则3</f>
        <v>871.49999999999989</v>
      </c>
      <c r="O18" s="3">
        <f>M18+SUM(O8:O16)-O17</f>
        <v>0</v>
      </c>
      <c r="P18" s="87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48</v>
      </c>
      <c r="P19" s="4">
        <f>O19*随机箱积分</f>
        <v>0</v>
      </c>
      <c r="R19" s="98" t="s">
        <v>177</v>
      </c>
      <c r="S19" s="26"/>
    </row>
    <row r="20" spans="2:19" ht="16.8" thickTop="1" thickBot="1">
      <c r="B20" s="36" t="s">
        <v>33</v>
      </c>
      <c r="C20" s="3">
        <f>C27-SUM(C19)+D44*氪金基金随机箱</f>
        <v>1</v>
      </c>
      <c r="D20" s="4">
        <f>C20*随机箱积分</f>
        <v>0</v>
      </c>
      <c r="E20" s="3">
        <f>E27-SUM(C19,E19)+F44*氪金基金随机箱</f>
        <v>2</v>
      </c>
      <c r="F20" s="4">
        <f>E20*随机箱积分</f>
        <v>0</v>
      </c>
      <c r="G20" s="3">
        <f>G27-SUM(C19,E19,G19)+H44*氪金基金随机箱</f>
        <v>3</v>
      </c>
      <c r="H20" s="4">
        <f>G20*随机箱积分</f>
        <v>0</v>
      </c>
      <c r="I20" s="3">
        <f>I27-SUM(C19,E19,G19,I19)+J44*氪金基金随机箱</f>
        <v>4</v>
      </c>
      <c r="J20" s="4">
        <f>I20*随机箱积分</f>
        <v>0</v>
      </c>
      <c r="K20" s="3">
        <f>K27-SUM(C19,E19,G19,I19,K19)+L44*氪金基金随机箱</f>
        <v>5</v>
      </c>
      <c r="L20" s="4">
        <f>K20*随机箱积分</f>
        <v>0</v>
      </c>
      <c r="M20" s="3">
        <f>M27-SUM(C19,E19,G19,I19,K19,M19)+N44*氪金基金随机箱</f>
        <v>7</v>
      </c>
      <c r="N20" s="4">
        <f>M20*随机箱积分</f>
        <v>0</v>
      </c>
      <c r="O20" s="3">
        <f>O27-SUM(C19,E19,G19,I19,K19,M19,O19)+P44*氪金基金随机箱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兑换月华糕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8" t="s">
        <v>179</v>
      </c>
    </row>
    <row r="22" spans="2:19" ht="16.2" thickTop="1">
      <c r="B22" s="70" t="str">
        <f xml:space="preserve"> "氪金"&amp;高级兑换道具</f>
        <v>氪金月华糕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32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98</v>
      </c>
      <c r="C24" s="42" t="str">
        <f>IFERROR(LOOKUP(D24,档位积分1:档位积分5,第1档:第5档),"无奖励")</f>
        <v>第1档</v>
      </c>
      <c r="D24" s="43">
        <f>SUM(D8:D17)+D19+SUM(D21:D23)</f>
        <v>204</v>
      </c>
      <c r="E24" s="44" t="str">
        <f>IFERROR(LOOKUP(F24,档位积分1:档位积分5,第1档:第5档),"无奖励")</f>
        <v>第1档</v>
      </c>
      <c r="F24" s="43">
        <f>SUM(F8:F17)+F19+SUM(F21:F23)</f>
        <v>204</v>
      </c>
      <c r="G24" s="44" t="str">
        <f>IFERROR(LOOKUP(H24,档位积分1:档位积分5,第1档:第5档),"无奖励")</f>
        <v>第1档</v>
      </c>
      <c r="H24" s="43">
        <f>SUM(H8:H17)+H19+SUM(H21:H23)</f>
        <v>204</v>
      </c>
      <c r="I24" s="44" t="str">
        <f>IFERROR(LOOKUP(J24,档位积分1:档位积分5,第1档:第5档),"无奖励")</f>
        <v>第1档</v>
      </c>
      <c r="J24" s="43">
        <f>SUM(J8:J17)+J19+SUM(J21:J23)</f>
        <v>264</v>
      </c>
      <c r="K24" s="44" t="str">
        <f>IFERROR(LOOKUP(L24,档位积分1:档位积分5,第1档:第5档),"无奖励")</f>
        <v>第1档</v>
      </c>
      <c r="L24" s="43">
        <f>SUM(L8:L17)+L19+SUM(L21:L23)</f>
        <v>264</v>
      </c>
      <c r="M24" s="44" t="str">
        <f>IFERROR(LOOKUP(N24,档位积分1:档位积分5,第1档:第5档),"无奖励")</f>
        <v>第2档</v>
      </c>
      <c r="N24" s="43">
        <f>SUM(N8:N17)+N19+SUM(N21:N23)</f>
        <v>354</v>
      </c>
      <c r="O24" s="44" t="str">
        <f>IFERROR(LOOKUP(P24,档位积分1:档位积分5,第1档:第5档),"无奖励")</f>
        <v>第5档</v>
      </c>
      <c r="P24" s="43">
        <f>SUM(P8:P17)+P19+SUM(P21:P23)</f>
        <v>2112.833333333333</v>
      </c>
    </row>
    <row r="25" spans="2:19" ht="16.8" thickTop="1" thickBot="1">
      <c r="B25" s="13" t="s">
        <v>99</v>
      </c>
      <c r="C25" s="85">
        <f>D24-IF(C24="无奖励", "",
   INDEX(档位积分1:档位积分5, MATCH(D24, 档位积分1:档位积分5, 1)))</f>
        <v>114</v>
      </c>
      <c r="D25" s="86">
        <f>IF(D24&gt;=MAX(档位积分1:档位积分5), "",
   IF(D24&lt;MIN(档位积分1:档位积分5), MIN(档位积分1:档位积分5),
      INDEX(档位积分1:档位积分5, MATCH(D24, 档位积分1:档位积分5, 1)+1)-D24))</f>
        <v>96</v>
      </c>
      <c r="E25" s="85">
        <f>F24-IF(E24="无奖励", "",
   INDEX(档位积分1:档位积分5, MATCH(F24, 档位积分1:档位积分5, 1)))</f>
        <v>114</v>
      </c>
      <c r="F25" s="86">
        <f>IF(F24&gt;=MAX(档位积分1:档位积分5), "",
   IF(F24&lt;MIN(档位积分1:档位积分5), MIN(档位积分1:档位积分5),
      INDEX(档位积分1:档位积分5, MATCH(F24, 档位积分1:档位积分5, 1)+1)-F24))</f>
        <v>96</v>
      </c>
      <c r="G25" s="85">
        <f>H24-IF(G24="无奖励", "",
   INDEX(档位积分1:档位积分5, MATCH(H24, 档位积分1:档位积分5, 1)))</f>
        <v>114</v>
      </c>
      <c r="H25" s="86">
        <f>IF(H24&gt;=MAX(档位积分1:档位积分5), "",
   IF(H24&lt;MIN(档位积分1:档位积分5), MIN(档位积分1:档位积分5),
      INDEX(档位积分1:档位积分5, MATCH(H24, 档位积分1:档位积分5, 1)+1)-H24))</f>
        <v>96</v>
      </c>
      <c r="I25" s="85">
        <f>J24-IF(I24="无奖励", "",
   INDEX(档位积分1:档位积分5, MATCH(J24, 档位积分1:档位积分5, 1)))</f>
        <v>174</v>
      </c>
      <c r="J25" s="86">
        <f>IF(J24&gt;=MAX(档位积分1:档位积分5), "",
   IF(J24&lt;MIN(档位积分1:档位积分5), MIN(档位积分1:档位积分5),
      INDEX(档位积分1:档位积分5, MATCH(J24, 档位积分1:档位积分5, 1)+1)-J24))</f>
        <v>36</v>
      </c>
      <c r="K25" s="85">
        <f>L24-IF(K24="无奖励", "",
   INDEX(档位积分1:档位积分5, MATCH(L24, 档位积分1:档位积分5, 1)))</f>
        <v>174</v>
      </c>
      <c r="L25" s="86">
        <f>IF(L24&gt;=MAX(档位积分1:档位积分5), "",
   IF(L24&lt;MIN(档位积分1:档位积分5), MIN(档位积分1:档位积分5),
      INDEX(档位积分1:档位积分5, MATCH(L24, 档位积分1:档位积分5, 1)+1)-L24))</f>
        <v>36</v>
      </c>
      <c r="M25" s="85">
        <f>N24-IF(M24="无奖励", "",
   INDEX(档位积分1:档位积分5, MATCH(N24, 档位积分1:档位积分5, 1)))</f>
        <v>54</v>
      </c>
      <c r="N25" s="86">
        <f>IF(N24&gt;=MAX(档位积分1:档位积分5), "",
   IF(N24&lt;MIN(档位积分1:档位积分5), MIN(档位积分1:档位积分5),
      INDEX(档位积分1:档位积分5, MATCH(N24, 档位积分1:档位积分5, 1)+1)-N24))</f>
        <v>168</v>
      </c>
      <c r="O25" s="85">
        <f>P24-IF(O24="无奖励", "",
   INDEX(档位积分1:档位积分5, MATCH(P24, 档位积分1:档位积分5, 1)))</f>
        <v>60.83333333333303</v>
      </c>
      <c r="P25" s="86" t="str">
        <f>IF(P24&gt;=MAX(档位积分1:档位积分5), "",
   IF(P24&lt;MIN(档位积分1:档位积分5), MIN(档位积分1:档位积分5),
      INDEX(档位积分1:档位积分5, MATCH(P24, 档位积分1:档位积分5, 1)+1)-P24))</f>
        <v/>
      </c>
    </row>
    <row r="26" spans="2:19" ht="16.2" thickTop="1">
      <c r="B26" s="41" t="str">
        <f>"总"&amp;抽奖道具</f>
        <v>总随机骰子</v>
      </c>
      <c r="C26" s="31">
        <f>SUM(C8:C16)</f>
        <v>102</v>
      </c>
      <c r="D26" s="49">
        <f>C26*积分规则3</f>
        <v>118.99999999999999</v>
      </c>
      <c r="E26" s="31">
        <f>C26+SUM(E8:E16)</f>
        <v>204</v>
      </c>
      <c r="F26" s="49">
        <f>E26*积分规则3</f>
        <v>237.99999999999997</v>
      </c>
      <c r="G26" s="31">
        <f>E26+SUM(G8:G16)</f>
        <v>306</v>
      </c>
      <c r="H26" s="49">
        <f>G26*积分规则3</f>
        <v>356.99999999999994</v>
      </c>
      <c r="I26" s="31">
        <f>G26+SUM(I8:I16)</f>
        <v>438</v>
      </c>
      <c r="J26" s="49">
        <f>I26*积分规则3</f>
        <v>510.99999999999994</v>
      </c>
      <c r="K26" s="31">
        <f>I26+SUM(K8:K16)</f>
        <v>570</v>
      </c>
      <c r="L26" s="49">
        <f>K26*积分规则3</f>
        <v>664.99999999999989</v>
      </c>
      <c r="M26" s="31">
        <f>K26+SUM(M8:M16)</f>
        <v>747</v>
      </c>
      <c r="N26" s="49">
        <f>M26*积分规则3</f>
        <v>871.49999999999989</v>
      </c>
      <c r="O26" s="31">
        <f>M26+SUM(O8:O16)</f>
        <v>1139</v>
      </c>
      <c r="P26" s="49">
        <f>O26*积分规则3</f>
        <v>1328.8333333333333</v>
      </c>
    </row>
    <row r="27" spans="2:19" ht="16.2" thickBot="1">
      <c r="B27" s="30" t="s">
        <v>41</v>
      </c>
      <c r="C27" s="5">
        <f>IFERROR(LOOKUP(D24,档位积分1:档位积分5,档位奖励1:档位奖励5),0)</f>
        <v>1</v>
      </c>
      <c r="D27" s="12">
        <f>C27*随机箱积分</f>
        <v>0</v>
      </c>
      <c r="E27" s="5">
        <f>IFERROR(LOOKUP(F24,档位积分1:档位积分5,档位奖励1:档位奖励5),0)+C27</f>
        <v>2</v>
      </c>
      <c r="F27" s="12">
        <f>E27*随机箱积分</f>
        <v>0</v>
      </c>
      <c r="G27" s="5">
        <f>IFERROR(LOOKUP(H24,档位积分1:档位积分5,档位奖励1:档位奖励5),0)+E27</f>
        <v>3</v>
      </c>
      <c r="H27" s="12">
        <f>G27*随机箱积分</f>
        <v>0</v>
      </c>
      <c r="I27" s="5">
        <f>IFERROR(LOOKUP(J24,档位积分1:档位积分5,档位奖励1:档位奖励5),0)+G27</f>
        <v>4</v>
      </c>
      <c r="J27" s="12">
        <f>I27*随机箱积分</f>
        <v>0</v>
      </c>
      <c r="K27" s="5">
        <f>IFERROR(LOOKUP(L24,档位积分1:档位积分5,档位奖励1:档位奖励5),0)+I27</f>
        <v>5</v>
      </c>
      <c r="L27" s="12">
        <f>K27*随机箱积分</f>
        <v>0</v>
      </c>
      <c r="M27" s="5">
        <f>IFERROR(LOOKUP(N24,档位积分1:档位积分5,档位奖励1:档位奖励5),0)+K27</f>
        <v>7</v>
      </c>
      <c r="N27" s="12">
        <f>M27*随机箱积分</f>
        <v>0</v>
      </c>
      <c r="O27" s="5">
        <f>IFERROR(LOOKUP(P24,档位积分1:档位积分5,档位奖励1:档位奖励5),0)+M27</f>
        <v>48</v>
      </c>
      <c r="P27" s="12">
        <f>O27*随机箱积分</f>
        <v>0</v>
      </c>
    </row>
    <row r="28" spans="2:19" ht="16.2" thickTop="1">
      <c r="B28" s="33" t="str">
        <f>普通兑换道具</f>
        <v>桂香糕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0</v>
      </c>
      <c r="N28" s="46"/>
      <c r="O28" s="45">
        <f>O17*普通兑换道具抽奖期望+M28</f>
        <v>1594.6</v>
      </c>
      <c r="P28" s="32"/>
    </row>
    <row r="29" spans="2:19" ht="16.2" thickBot="1">
      <c r="B29" s="34" t="str">
        <f>高级兑换道具</f>
        <v>月华糕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82.447999999999993</v>
      </c>
      <c r="P29" s="12"/>
    </row>
    <row r="30" spans="2:19" ht="16.8" thickTop="1" thickBot="1">
      <c r="B30" s="41" t="s">
        <v>97</v>
      </c>
      <c r="C30" s="55" t="str">
        <f>C7</f>
        <v>随机骰子</v>
      </c>
      <c r="D30" s="56" t="s">
        <v>96</v>
      </c>
      <c r="E30" s="55" t="str">
        <f>E7</f>
        <v>随机骰子</v>
      </c>
      <c r="F30" s="56" t="s">
        <v>96</v>
      </c>
      <c r="G30" s="55" t="str">
        <f>G7</f>
        <v>随机骰子</v>
      </c>
      <c r="H30" s="56" t="s">
        <v>96</v>
      </c>
      <c r="I30" s="55" t="str">
        <f>I7</f>
        <v>随机骰子</v>
      </c>
      <c r="J30" s="56" t="s">
        <v>96</v>
      </c>
      <c r="K30" s="55" t="str">
        <f>K7</f>
        <v>随机骰子</v>
      </c>
      <c r="L30" s="56" t="s">
        <v>96</v>
      </c>
      <c r="M30" s="55" t="str">
        <f>M7</f>
        <v>随机骰子</v>
      </c>
      <c r="N30" s="56" t="s">
        <v>96</v>
      </c>
      <c r="O30" s="55" t="str">
        <f>O7</f>
        <v>随机骰子</v>
      </c>
      <c r="P30" s="56" t="s">
        <v>96</v>
      </c>
    </row>
    <row r="31" spans="2:19" ht="16.2" customHeight="1" thickTop="1">
      <c r="B31" s="59" t="str">
        <f>抽奖道具 &amp; "礼包Ⅰ"</f>
        <v>随机骰子礼包Ⅰ</v>
      </c>
      <c r="C31" s="39">
        <f>抽奖道具礼包1</f>
        <v>30</v>
      </c>
      <c r="D31" s="24">
        <v>0</v>
      </c>
      <c r="E31" s="39">
        <f>抽奖道具礼包1</f>
        <v>30</v>
      </c>
      <c r="F31" s="24">
        <v>0</v>
      </c>
      <c r="G31" s="39">
        <f>抽奖道具礼包1</f>
        <v>30</v>
      </c>
      <c r="H31" s="24">
        <v>0</v>
      </c>
      <c r="I31" s="39">
        <f>抽奖道具礼包1</f>
        <v>30</v>
      </c>
      <c r="J31" s="24">
        <v>1</v>
      </c>
      <c r="K31" s="39">
        <f>抽奖道具礼包1</f>
        <v>30</v>
      </c>
      <c r="L31" s="24">
        <v>1</v>
      </c>
      <c r="M31" s="39">
        <f>抽奖道具礼包1</f>
        <v>30</v>
      </c>
      <c r="N31" s="24">
        <v>1</v>
      </c>
      <c r="O31" s="39">
        <f>抽奖道具礼包1</f>
        <v>30</v>
      </c>
      <c r="P31" s="24">
        <v>1</v>
      </c>
      <c r="R31" s="126" t="s">
        <v>183</v>
      </c>
    </row>
    <row r="32" spans="2:19">
      <c r="B32" s="99" t="str">
        <f>抽奖道具 &amp; "礼包Ⅱ"</f>
        <v>随机骰子礼包Ⅱ</v>
      </c>
      <c r="C32" s="39">
        <f>抽奖道具礼包2</f>
        <v>45</v>
      </c>
      <c r="D32" s="24">
        <v>0</v>
      </c>
      <c r="E32" s="39">
        <f>抽奖道具礼包2</f>
        <v>45</v>
      </c>
      <c r="F32" s="24">
        <v>0</v>
      </c>
      <c r="G32" s="39">
        <f>抽奖道具礼包2</f>
        <v>45</v>
      </c>
      <c r="H32" s="24">
        <v>0</v>
      </c>
      <c r="I32" s="39">
        <f>抽奖道具礼包2</f>
        <v>45</v>
      </c>
      <c r="J32" s="24">
        <v>0</v>
      </c>
      <c r="K32" s="39">
        <f>抽奖道具礼包2</f>
        <v>45</v>
      </c>
      <c r="L32" s="24">
        <v>0</v>
      </c>
      <c r="M32" s="39">
        <f>抽奖道具礼包2</f>
        <v>45</v>
      </c>
      <c r="N32" s="24">
        <v>1</v>
      </c>
      <c r="O32" s="39">
        <f>抽奖道具礼包2</f>
        <v>45</v>
      </c>
      <c r="P32" s="24">
        <v>1</v>
      </c>
      <c r="R32" s="127"/>
    </row>
    <row r="33" spans="2:18">
      <c r="B33" s="99" t="str">
        <f>抽奖道具 &amp; "礼包Ⅲ"</f>
        <v>随机骰子礼包Ⅲ</v>
      </c>
      <c r="C33" s="39">
        <f>抽奖道具礼包3</f>
        <v>90</v>
      </c>
      <c r="D33" s="24">
        <v>0</v>
      </c>
      <c r="E33" s="39">
        <f>抽奖道具礼包3</f>
        <v>90</v>
      </c>
      <c r="F33" s="24">
        <v>0</v>
      </c>
      <c r="G33" s="39">
        <f>抽奖道具礼包3</f>
        <v>90</v>
      </c>
      <c r="H33" s="24">
        <v>0</v>
      </c>
      <c r="I33" s="39">
        <f>抽奖道具礼包3</f>
        <v>90</v>
      </c>
      <c r="J33" s="24">
        <v>0</v>
      </c>
      <c r="K33" s="39">
        <f>抽奖道具礼包3</f>
        <v>90</v>
      </c>
      <c r="L33" s="24">
        <v>0</v>
      </c>
      <c r="M33" s="39">
        <f>抽奖道具礼包3</f>
        <v>90</v>
      </c>
      <c r="N33" s="24">
        <v>0</v>
      </c>
      <c r="O33" s="39">
        <f>抽奖道具礼包3</f>
        <v>90</v>
      </c>
      <c r="P33" s="24">
        <v>0</v>
      </c>
      <c r="R33" s="127"/>
    </row>
    <row r="34" spans="2:18">
      <c r="B34" s="99" t="str">
        <f>抽奖道具 &amp; "礼包Ⅳ"</f>
        <v>随机骰子礼包Ⅳ</v>
      </c>
      <c r="C34" s="39">
        <f>抽奖道具礼包4</f>
        <v>150</v>
      </c>
      <c r="D34" s="24">
        <v>0</v>
      </c>
      <c r="E34" s="39">
        <f>抽奖道具礼包4</f>
        <v>150</v>
      </c>
      <c r="F34" s="24">
        <v>0</v>
      </c>
      <c r="G34" s="39">
        <f>抽奖道具礼包4</f>
        <v>150</v>
      </c>
      <c r="H34" s="24">
        <v>0</v>
      </c>
      <c r="I34" s="39">
        <f>抽奖道具礼包4</f>
        <v>150</v>
      </c>
      <c r="J34" s="24">
        <v>0</v>
      </c>
      <c r="K34" s="39">
        <f>抽奖道具礼包4</f>
        <v>150</v>
      </c>
      <c r="L34" s="24">
        <v>0</v>
      </c>
      <c r="M34" s="39">
        <f>抽奖道具礼包4</f>
        <v>150</v>
      </c>
      <c r="N34" s="24">
        <v>0</v>
      </c>
      <c r="O34" s="39">
        <f>抽奖道具礼包4</f>
        <v>150</v>
      </c>
      <c r="P34" s="24">
        <v>0</v>
      </c>
      <c r="R34" s="127"/>
    </row>
    <row r="35" spans="2:18">
      <c r="B35" s="99" t="str">
        <f>抽奖道具 &amp; "礼包Ⅴ"</f>
        <v>随机骰子礼包Ⅴ</v>
      </c>
      <c r="C35" s="39">
        <f>抽奖道具礼包5</f>
        <v>270</v>
      </c>
      <c r="D35" s="24">
        <v>0</v>
      </c>
      <c r="E35" s="39">
        <f>抽奖道具礼包5</f>
        <v>270</v>
      </c>
      <c r="F35" s="24">
        <v>0</v>
      </c>
      <c r="G35" s="39">
        <f>抽奖道具礼包5</f>
        <v>270</v>
      </c>
      <c r="H35" s="24">
        <v>0</v>
      </c>
      <c r="I35" s="39">
        <f>抽奖道具礼包5</f>
        <v>270</v>
      </c>
      <c r="J35" s="24">
        <v>0</v>
      </c>
      <c r="K35" s="39">
        <f>抽奖道具礼包5</f>
        <v>270</v>
      </c>
      <c r="L35" s="24">
        <v>0</v>
      </c>
      <c r="M35" s="39">
        <f>抽奖道具礼包5</f>
        <v>270</v>
      </c>
      <c r="N35" s="24">
        <v>0</v>
      </c>
      <c r="O35" s="39">
        <f>抽奖道具礼包5</f>
        <v>270</v>
      </c>
      <c r="P35" s="24">
        <v>0</v>
      </c>
      <c r="R35" s="127"/>
    </row>
    <row r="36" spans="2:18">
      <c r="B36" s="99" t="str">
        <f>抽奖道具 &amp; "礼包Ⅵ"</f>
        <v>随机骰子礼包Ⅵ</v>
      </c>
      <c r="C36" s="39">
        <f>抽奖道具礼包6</f>
        <v>0</v>
      </c>
      <c r="D36" s="24">
        <v>0</v>
      </c>
      <c r="E36" s="39">
        <f>抽奖道具礼包6</f>
        <v>0</v>
      </c>
      <c r="F36" s="24">
        <v>0</v>
      </c>
      <c r="G36" s="39">
        <f>抽奖道具礼包6</f>
        <v>0</v>
      </c>
      <c r="H36" s="24">
        <v>0</v>
      </c>
      <c r="I36" s="39">
        <f>抽奖道具礼包6</f>
        <v>0</v>
      </c>
      <c r="J36" s="24">
        <v>0</v>
      </c>
      <c r="K36" s="39">
        <f>抽奖道具礼包6</f>
        <v>0</v>
      </c>
      <c r="L36" s="24">
        <v>0</v>
      </c>
      <c r="M36" s="39">
        <f>抽奖道具礼包6</f>
        <v>0</v>
      </c>
      <c r="N36" s="24">
        <v>0</v>
      </c>
      <c r="O36" s="39">
        <f>抽奖道具礼包6</f>
        <v>0</v>
      </c>
      <c r="P36" s="24">
        <v>0</v>
      </c>
      <c r="R36" s="127"/>
    </row>
    <row r="37" spans="2:18" ht="16.2" thickBot="1">
      <c r="B37" s="100" t="str">
        <f>抽奖道具 &amp; "礼包Ⅶ"</f>
        <v>随机骰子礼包Ⅶ</v>
      </c>
      <c r="C37" s="57">
        <f>抽奖道具礼包7</f>
        <v>0</v>
      </c>
      <c r="D37" s="12">
        <v>0</v>
      </c>
      <c r="E37" s="57">
        <f>抽奖道具礼包7</f>
        <v>0</v>
      </c>
      <c r="F37" s="12">
        <v>0</v>
      </c>
      <c r="G37" s="57">
        <f>抽奖道具礼包7</f>
        <v>0</v>
      </c>
      <c r="H37" s="12">
        <v>0</v>
      </c>
      <c r="I37" s="57">
        <f>抽奖道具礼包7</f>
        <v>0</v>
      </c>
      <c r="J37" s="12">
        <v>0</v>
      </c>
      <c r="K37" s="57">
        <f>抽奖道具礼包7</f>
        <v>0</v>
      </c>
      <c r="L37" s="12">
        <v>0</v>
      </c>
      <c r="M37" s="57">
        <f>抽奖道具礼包7</f>
        <v>0</v>
      </c>
      <c r="N37" s="12">
        <v>0</v>
      </c>
      <c r="O37" s="57">
        <f>抽奖道具礼包7</f>
        <v>0</v>
      </c>
      <c r="P37" s="12">
        <v>0</v>
      </c>
      <c r="R37" s="127"/>
    </row>
    <row r="38" spans="2:18" ht="16.8" thickTop="1" thickBot="1">
      <c r="B38" s="39" t="s">
        <v>97</v>
      </c>
      <c r="C38" s="55" t="str">
        <f>高级兑换道具</f>
        <v>月华糕</v>
      </c>
      <c r="D38" s="56" t="s">
        <v>96</v>
      </c>
      <c r="E38" s="55" t="str">
        <f>高级兑换道具</f>
        <v>月华糕</v>
      </c>
      <c r="F38" s="56" t="s">
        <v>96</v>
      </c>
      <c r="G38" s="55" t="str">
        <f>高级兑换道具</f>
        <v>月华糕</v>
      </c>
      <c r="H38" s="56" t="s">
        <v>96</v>
      </c>
      <c r="I38" s="55" t="str">
        <f>高级兑换道具</f>
        <v>月华糕</v>
      </c>
      <c r="J38" s="56" t="s">
        <v>96</v>
      </c>
      <c r="K38" s="55" t="str">
        <f>高级兑换道具</f>
        <v>月华糕</v>
      </c>
      <c r="L38" s="56" t="s">
        <v>96</v>
      </c>
      <c r="M38" s="55" t="str">
        <f>高级兑换道具</f>
        <v>月华糕</v>
      </c>
      <c r="N38" s="56" t="s">
        <v>96</v>
      </c>
      <c r="O38" s="55" t="str">
        <f>高级兑换道具</f>
        <v>月华糕</v>
      </c>
      <c r="P38" s="56" t="s">
        <v>96</v>
      </c>
      <c r="R38" s="127"/>
    </row>
    <row r="39" spans="2:18" ht="16.2" customHeight="1" thickTop="1">
      <c r="B39" s="91" t="str">
        <f>高级兑换道具 &amp; "礼包Ⅰ"</f>
        <v>月华糕礼包Ⅰ</v>
      </c>
      <c r="C39" s="18">
        <f>高级兑换道具礼包1</f>
        <v>2</v>
      </c>
      <c r="D39" s="32">
        <v>0</v>
      </c>
      <c r="E39" s="18">
        <f>高级兑换道具礼包1</f>
        <v>2</v>
      </c>
      <c r="F39" s="32">
        <v>0</v>
      </c>
      <c r="G39" s="18">
        <f>高级兑换道具礼包1</f>
        <v>2</v>
      </c>
      <c r="H39" s="32">
        <v>0</v>
      </c>
      <c r="I39" s="18">
        <f>高级兑换道具礼包1</f>
        <v>2</v>
      </c>
      <c r="J39" s="32">
        <v>0</v>
      </c>
      <c r="K39" s="18">
        <f>高级兑换道具礼包1</f>
        <v>2</v>
      </c>
      <c r="L39" s="32">
        <v>0</v>
      </c>
      <c r="M39" s="18">
        <f>高级兑换道具礼包1</f>
        <v>2</v>
      </c>
      <c r="N39" s="32">
        <v>0</v>
      </c>
      <c r="O39" s="18">
        <f>高级兑换道具礼包1</f>
        <v>2</v>
      </c>
      <c r="P39" s="32">
        <v>1</v>
      </c>
      <c r="R39" s="127"/>
    </row>
    <row r="40" spans="2:18">
      <c r="B40" s="92" t="str">
        <f>高级兑换道具 &amp; "礼包Ⅱ"</f>
        <v>月华糕礼包Ⅱ</v>
      </c>
      <c r="C40" s="39">
        <f>高级兑换道具礼包2</f>
        <v>4</v>
      </c>
      <c r="D40" s="4">
        <v>0</v>
      </c>
      <c r="E40" s="39">
        <f>高级兑换道具礼包2</f>
        <v>4</v>
      </c>
      <c r="F40" s="4">
        <v>0</v>
      </c>
      <c r="G40" s="39">
        <f>高级兑换道具礼包2</f>
        <v>4</v>
      </c>
      <c r="H40" s="4">
        <v>0</v>
      </c>
      <c r="I40" s="39">
        <f>高级兑换道具礼包2</f>
        <v>4</v>
      </c>
      <c r="J40" s="4">
        <v>0</v>
      </c>
      <c r="K40" s="39">
        <f>高级兑换道具礼包2</f>
        <v>4</v>
      </c>
      <c r="L40" s="4">
        <v>0</v>
      </c>
      <c r="M40" s="39">
        <f>高级兑换道具礼包2</f>
        <v>4</v>
      </c>
      <c r="N40" s="4">
        <v>0</v>
      </c>
      <c r="O40" s="39">
        <f>高级兑换道具礼包2</f>
        <v>4</v>
      </c>
      <c r="P40" s="4">
        <v>0</v>
      </c>
      <c r="R40" s="127"/>
    </row>
    <row r="41" spans="2:18">
      <c r="B41" s="92" t="str">
        <f>高级兑换道具 &amp; "礼包Ⅲ"</f>
        <v>月华糕礼包Ⅲ</v>
      </c>
      <c r="C41" s="39">
        <f>高级兑换道具礼包3</f>
        <v>10</v>
      </c>
      <c r="D41" s="4">
        <v>0</v>
      </c>
      <c r="E41" s="39">
        <f>高级兑换道具礼包3</f>
        <v>10</v>
      </c>
      <c r="F41" s="4">
        <v>0</v>
      </c>
      <c r="G41" s="39">
        <f>高级兑换道具礼包3</f>
        <v>10</v>
      </c>
      <c r="H41" s="4">
        <v>0</v>
      </c>
      <c r="I41" s="39">
        <f>高级兑换道具礼包3</f>
        <v>10</v>
      </c>
      <c r="J41" s="4">
        <v>0</v>
      </c>
      <c r="K41" s="39">
        <f>高级兑换道具礼包3</f>
        <v>10</v>
      </c>
      <c r="L41" s="4">
        <v>0</v>
      </c>
      <c r="M41" s="39">
        <f>高级兑换道具礼包3</f>
        <v>10</v>
      </c>
      <c r="N41" s="4">
        <v>0</v>
      </c>
      <c r="O41" s="39">
        <f>高级兑换道具礼包3</f>
        <v>10</v>
      </c>
      <c r="P41" s="4">
        <v>1</v>
      </c>
      <c r="R41" s="127"/>
    </row>
    <row r="42" spans="2:18" ht="16.2" thickBot="1">
      <c r="B42" s="93" t="str">
        <f>高级兑换道具 &amp; "礼包Ⅳ"</f>
        <v>月华糕礼包Ⅳ</v>
      </c>
      <c r="C42" s="57">
        <f>高级兑换道具礼包4</f>
        <v>20</v>
      </c>
      <c r="D42" s="12">
        <v>0</v>
      </c>
      <c r="E42" s="57">
        <f>高级兑换道具礼包4</f>
        <v>20</v>
      </c>
      <c r="F42" s="12">
        <v>0</v>
      </c>
      <c r="G42" s="57">
        <f>高级兑换道具礼包4</f>
        <v>20</v>
      </c>
      <c r="H42" s="12">
        <v>0</v>
      </c>
      <c r="I42" s="57">
        <f>高级兑换道具礼包4</f>
        <v>20</v>
      </c>
      <c r="J42" s="12">
        <v>0</v>
      </c>
      <c r="K42" s="57">
        <f>高级兑换道具礼包4</f>
        <v>20</v>
      </c>
      <c r="L42" s="12">
        <v>0</v>
      </c>
      <c r="M42" s="57">
        <f>高级兑换道具礼包4</f>
        <v>20</v>
      </c>
      <c r="N42" s="12">
        <v>0</v>
      </c>
      <c r="O42" s="57">
        <f>高级兑换道具礼包4</f>
        <v>20</v>
      </c>
      <c r="P42" s="12">
        <v>1</v>
      </c>
      <c r="R42" s="127"/>
    </row>
    <row r="43" spans="2:18" ht="16.8" thickTop="1" thickBot="1">
      <c r="B43" s="129" t="s">
        <v>149</v>
      </c>
      <c r="C43" s="57" t="s">
        <v>152</v>
      </c>
      <c r="D43" s="12">
        <v>0</v>
      </c>
      <c r="E43" s="57" t="s">
        <v>152</v>
      </c>
      <c r="F43" s="12">
        <v>0</v>
      </c>
      <c r="G43" s="57" t="s">
        <v>152</v>
      </c>
      <c r="H43" s="12">
        <v>0</v>
      </c>
      <c r="I43" s="57" t="s">
        <v>152</v>
      </c>
      <c r="J43" s="12">
        <v>0</v>
      </c>
      <c r="K43" s="57" t="s">
        <v>152</v>
      </c>
      <c r="L43" s="12">
        <v>0</v>
      </c>
      <c r="M43" s="57" t="s">
        <v>152</v>
      </c>
      <c r="N43" s="12">
        <v>0</v>
      </c>
      <c r="O43" s="57" t="s">
        <v>152</v>
      </c>
      <c r="P43" s="12">
        <v>1</v>
      </c>
      <c r="R43" s="127"/>
    </row>
    <row r="44" spans="2:18" ht="16.8" thickTop="1" thickBot="1">
      <c r="B44" s="130"/>
      <c r="C44" s="67" t="s">
        <v>151</v>
      </c>
      <c r="D44" s="68">
        <v>0</v>
      </c>
      <c r="E44" s="67" t="s">
        <v>151</v>
      </c>
      <c r="F44" s="68">
        <v>0</v>
      </c>
      <c r="G44" s="67" t="s">
        <v>151</v>
      </c>
      <c r="H44" s="68">
        <v>0</v>
      </c>
      <c r="I44" s="67" t="s">
        <v>151</v>
      </c>
      <c r="J44" s="68">
        <v>0</v>
      </c>
      <c r="K44" s="67" t="s">
        <v>151</v>
      </c>
      <c r="L44" s="68">
        <v>0</v>
      </c>
      <c r="M44" s="67" t="s">
        <v>151</v>
      </c>
      <c r="N44" s="68">
        <v>0</v>
      </c>
      <c r="O44" s="67" t="s">
        <v>151</v>
      </c>
      <c r="P44" s="68">
        <v>1</v>
      </c>
      <c r="R44" s="128"/>
    </row>
    <row r="45" spans="2:18" ht="23.4" customHeight="1" thickTop="1" thickBot="1">
      <c r="B45" s="96" t="s">
        <v>155</v>
      </c>
      <c r="C45" s="131"/>
      <c r="D45" s="132"/>
      <c r="E45" s="133"/>
      <c r="F45" s="132"/>
      <c r="G45" s="133"/>
      <c r="H45" s="132"/>
      <c r="I45" s="133" t="s">
        <v>193</v>
      </c>
      <c r="J45" s="132"/>
      <c r="K45" s="133" t="s">
        <v>193</v>
      </c>
      <c r="L45" s="132"/>
      <c r="M45" s="133" t="s">
        <v>193</v>
      </c>
      <c r="N45" s="132"/>
      <c r="O45" s="133" t="s">
        <v>161</v>
      </c>
      <c r="P45" s="132"/>
      <c r="R45" s="98" t="s">
        <v>180</v>
      </c>
    </row>
    <row r="46" spans="2:18" ht="30" customHeight="1" thickTop="1">
      <c r="B46" s="94" t="s">
        <v>156</v>
      </c>
      <c r="C46" s="137" t="s">
        <v>162</v>
      </c>
      <c r="D46" s="135"/>
      <c r="E46" s="137" t="s">
        <v>162</v>
      </c>
      <c r="F46" s="135"/>
      <c r="G46" s="137" t="s">
        <v>162</v>
      </c>
      <c r="H46" s="135"/>
      <c r="I46" s="137" t="s">
        <v>162</v>
      </c>
      <c r="J46" s="135"/>
      <c r="K46" s="137" t="s">
        <v>162</v>
      </c>
      <c r="L46" s="135"/>
      <c r="M46" s="137" t="s">
        <v>162</v>
      </c>
      <c r="N46" s="135"/>
      <c r="O46" s="137" t="s">
        <v>162</v>
      </c>
      <c r="P46" s="135"/>
      <c r="R46" s="126" t="s">
        <v>181</v>
      </c>
    </row>
    <row r="47" spans="2:18" ht="30" customHeight="1">
      <c r="B47" s="94" t="s">
        <v>157</v>
      </c>
      <c r="C47" s="136" t="s">
        <v>163</v>
      </c>
      <c r="D47" s="105"/>
      <c r="E47" s="136" t="s">
        <v>163</v>
      </c>
      <c r="F47" s="105"/>
      <c r="G47" s="136" t="s">
        <v>163</v>
      </c>
      <c r="H47" s="105"/>
      <c r="I47" s="136" t="s">
        <v>163</v>
      </c>
      <c r="J47" s="105"/>
      <c r="K47" s="136" t="s">
        <v>163</v>
      </c>
      <c r="L47" s="105"/>
      <c r="M47" s="136" t="s">
        <v>163</v>
      </c>
      <c r="N47" s="105"/>
      <c r="O47" s="136" t="s">
        <v>163</v>
      </c>
      <c r="P47" s="105"/>
      <c r="R47" s="127"/>
    </row>
    <row r="48" spans="2:18" ht="30" customHeight="1">
      <c r="B48" s="94" t="s">
        <v>158</v>
      </c>
      <c r="C48" s="137" t="s">
        <v>164</v>
      </c>
      <c r="D48" s="135"/>
      <c r="E48" s="137" t="s">
        <v>164</v>
      </c>
      <c r="F48" s="135"/>
      <c r="G48" s="137" t="s">
        <v>164</v>
      </c>
      <c r="H48" s="135"/>
      <c r="I48" s="137" t="s">
        <v>164</v>
      </c>
      <c r="J48" s="135"/>
      <c r="K48" s="137" t="s">
        <v>164</v>
      </c>
      <c r="L48" s="135"/>
      <c r="M48" s="137" t="s">
        <v>164</v>
      </c>
      <c r="N48" s="135"/>
      <c r="O48" s="137" t="s">
        <v>197</v>
      </c>
      <c r="P48" s="135"/>
      <c r="R48" s="127"/>
    </row>
    <row r="49" spans="2:19" ht="30" customHeight="1">
      <c r="B49" s="94" t="s">
        <v>159</v>
      </c>
      <c r="C49" s="137"/>
      <c r="D49" s="135"/>
      <c r="E49" s="137"/>
      <c r="F49" s="135"/>
      <c r="G49" s="137"/>
      <c r="H49" s="135"/>
      <c r="I49" s="137" t="s">
        <v>188</v>
      </c>
      <c r="J49" s="135"/>
      <c r="K49" s="137" t="s">
        <v>188</v>
      </c>
      <c r="L49" s="135"/>
      <c r="M49" s="137" t="s">
        <v>195</v>
      </c>
      <c r="N49" s="135"/>
      <c r="O49" s="137" t="s">
        <v>218</v>
      </c>
      <c r="P49" s="135"/>
      <c r="R49" s="127"/>
    </row>
    <row r="50" spans="2:19" ht="30" customHeight="1" thickBot="1">
      <c r="B50" s="97" t="s">
        <v>160</v>
      </c>
      <c r="C50" s="137"/>
      <c r="D50" s="135"/>
      <c r="E50" s="137"/>
      <c r="F50" s="135"/>
      <c r="G50" s="137"/>
      <c r="H50" s="135"/>
      <c r="I50" s="137"/>
      <c r="J50" s="135"/>
      <c r="K50" s="137"/>
      <c r="L50" s="135"/>
      <c r="M50" s="137"/>
      <c r="N50" s="135"/>
      <c r="O50" s="137" t="s">
        <v>199</v>
      </c>
      <c r="P50" s="135"/>
      <c r="Q50" s="23"/>
      <c r="R50" s="128"/>
      <c r="S50" s="23"/>
    </row>
    <row r="51" spans="2:19" ht="17.399999999999999" thickTop="1" thickBot="1">
      <c r="B51" s="139" t="s">
        <v>34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76"/>
      <c r="R51" s="6"/>
      <c r="S51" s="6"/>
    </row>
    <row r="52" spans="2:19" ht="19.95" customHeight="1" thickTop="1" thickBot="1">
      <c r="B52" s="143" t="s">
        <v>230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R52" s="126" t="s">
        <v>182</v>
      </c>
      <c r="S52" s="6"/>
    </row>
    <row r="53" spans="2:19" ht="19.95" customHeight="1" thickTop="1" thickBot="1">
      <c r="B53" s="14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R53" s="127"/>
      <c r="S53" s="6"/>
    </row>
    <row r="54" spans="2:19" ht="19.95" customHeight="1" thickTop="1" thickBot="1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5"/>
      <c r="R54" s="127"/>
      <c r="S54" s="6"/>
    </row>
    <row r="55" spans="2:19" ht="19.95" customHeight="1" thickTop="1" thickBot="1">
      <c r="B55" s="14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5"/>
      <c r="R55" s="128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95"/>
      <c r="C57" s="95"/>
      <c r="D57" s="95"/>
      <c r="K57" s="138"/>
      <c r="L57" s="138"/>
      <c r="M57" s="138"/>
      <c r="N57" s="138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95"/>
      <c r="C61" s="95"/>
      <c r="D61" s="95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K57:N57"/>
    <mergeCell ref="B51:P51"/>
    <mergeCell ref="B52:P52"/>
    <mergeCell ref="R52:R55"/>
    <mergeCell ref="B53:P53"/>
    <mergeCell ref="B54:P54"/>
    <mergeCell ref="B55:P55"/>
    <mergeCell ref="O49:P49"/>
    <mergeCell ref="C50:D50"/>
    <mergeCell ref="E50:F50"/>
    <mergeCell ref="G50:H50"/>
    <mergeCell ref="I50:J50"/>
    <mergeCell ref="K50:L50"/>
    <mergeCell ref="M50:N50"/>
    <mergeCell ref="O50:P50"/>
    <mergeCell ref="C49:D49"/>
    <mergeCell ref="E49:F49"/>
    <mergeCell ref="G49:H49"/>
    <mergeCell ref="I49:J49"/>
    <mergeCell ref="K49:L49"/>
    <mergeCell ref="M49:N49"/>
    <mergeCell ref="E48:F48"/>
    <mergeCell ref="G48:H48"/>
    <mergeCell ref="I48:J48"/>
    <mergeCell ref="K48:L48"/>
    <mergeCell ref="M48:N48"/>
    <mergeCell ref="O48:P48"/>
    <mergeCell ref="O46:P46"/>
    <mergeCell ref="R46:R50"/>
    <mergeCell ref="C47:D47"/>
    <mergeCell ref="E47:F47"/>
    <mergeCell ref="G47:H47"/>
    <mergeCell ref="I47:J47"/>
    <mergeCell ref="K47:L47"/>
    <mergeCell ref="M47:N47"/>
    <mergeCell ref="O47:P47"/>
    <mergeCell ref="C48:D48"/>
    <mergeCell ref="C46:D46"/>
    <mergeCell ref="E46:F46"/>
    <mergeCell ref="G46:H46"/>
    <mergeCell ref="I46:J46"/>
    <mergeCell ref="K46:L46"/>
    <mergeCell ref="M46:N46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C5:P5"/>
    <mergeCell ref="C6:D6"/>
    <mergeCell ref="E6:F6"/>
    <mergeCell ref="G6:H6"/>
    <mergeCell ref="I6:J6"/>
    <mergeCell ref="K6:L6"/>
    <mergeCell ref="M6:N6"/>
    <mergeCell ref="O6:P6"/>
    <mergeCell ref="B2:P2"/>
    <mergeCell ref="B3:B4"/>
    <mergeCell ref="C3:H3"/>
    <mergeCell ref="I3:L3"/>
    <mergeCell ref="M3:P3"/>
    <mergeCell ref="C4:P4"/>
  </mergeCells>
  <phoneticPr fontId="7" type="noConversion"/>
  <conditionalFormatting sqref="B10:P10">
    <cfRule type="cellIs" dxfId="23" priority="9" operator="greaterThan">
      <formula>0</formula>
    </cfRule>
  </conditionalFormatting>
  <conditionalFormatting sqref="B13:P13">
    <cfRule type="cellIs" dxfId="22" priority="3" operator="greaterThan">
      <formula>0</formula>
    </cfRule>
  </conditionalFormatting>
  <conditionalFormatting sqref="B14:P14">
    <cfRule type="cellIs" dxfId="21" priority="6" operator="greaterThan">
      <formula>0</formula>
    </cfRule>
  </conditionalFormatting>
  <conditionalFormatting sqref="C11:P11">
    <cfRule type="cellIs" dxfId="20" priority="7" operator="greaterThan">
      <formula>0</formula>
    </cfRule>
  </conditionalFormatting>
  <conditionalFormatting sqref="C15:P15 D31:D37 F31:F37 H31:H37 J31:J37 L31:L37 N31:N37 P31:P37">
    <cfRule type="cellIs" dxfId="19" priority="5" operator="greaterThan">
      <formula>0</formula>
    </cfRule>
  </conditionalFormatting>
  <conditionalFormatting sqref="C15:P16">
    <cfRule type="cellIs" dxfId="18" priority="8" operator="greaterThan">
      <formula>0</formula>
    </cfRule>
  </conditionalFormatting>
  <conditionalFormatting sqref="C17:P17">
    <cfRule type="cellIs" dxfId="17" priority="12" operator="greaterThan">
      <formula>0</formula>
    </cfRule>
  </conditionalFormatting>
  <conditionalFormatting sqref="C19:P19">
    <cfRule type="cellIs" dxfId="16" priority="10" operator="greaterThan">
      <formula>0</formula>
    </cfRule>
  </conditionalFormatting>
  <conditionalFormatting sqref="C21:P21">
    <cfRule type="cellIs" dxfId="15" priority="11" operator="greaterThan">
      <formula>0</formula>
    </cfRule>
  </conditionalFormatting>
  <conditionalFormatting sqref="C22:P22 D39:D42 F39:F42 H39:H42 J39:J42 L39:L42 N39:N42 P39:P42">
    <cfRule type="cellIs" dxfId="14" priority="4" operator="greaterThan">
      <formula>0</formula>
    </cfRule>
  </conditionalFormatting>
  <conditionalFormatting sqref="D43 F43 H43 J43 L43 N43 P43">
    <cfRule type="cellIs" dxfId="13" priority="1" operator="greaterThan">
      <formula>0</formula>
    </cfRule>
  </conditionalFormatting>
  <conditionalFormatting sqref="D44 F44 H44 J44 L44 N44 P44"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1D30-583E-4523-BEFD-181252D198F6}">
  <dimension ref="B1:T81"/>
  <sheetViews>
    <sheetView topLeftCell="A7" zoomScaleNormal="100" workbookViewId="0">
      <selection activeCell="H60" sqref="H60"/>
    </sheetView>
  </sheetViews>
  <sheetFormatPr defaultRowHeight="15.6"/>
  <cols>
    <col min="1" max="1" width="3.77734375" style="1" customWidth="1"/>
    <col min="2" max="2" width="14.88671875" style="1" bestFit="1" customWidth="1"/>
    <col min="3" max="16" width="9.5546875" style="1" bestFit="1" customWidth="1"/>
    <col min="17" max="17" width="7.77734375" style="1" customWidth="1"/>
    <col min="18" max="18" width="21.6640625" style="1" customWidth="1"/>
    <col min="19" max="19" width="9.88671875" style="1" customWidth="1"/>
    <col min="20" max="20" width="11" style="1" customWidth="1"/>
    <col min="21" max="21" width="14.6640625" style="1" customWidth="1"/>
    <col min="22" max="23" width="8.88671875" style="1"/>
    <col min="24" max="24" width="10.6640625" style="1" customWidth="1"/>
    <col min="25" max="16384" width="8.88671875" style="1"/>
  </cols>
  <sheetData>
    <row r="1" spans="2:20" ht="16.2" thickBot="1">
      <c r="R1" s="1" t="s">
        <v>170</v>
      </c>
      <c r="S1" s="1" t="s">
        <v>184</v>
      </c>
    </row>
    <row r="2" spans="2:20" ht="28.2" customHeight="1" thickTop="1" thickBot="1">
      <c r="B2" s="106" t="s">
        <v>229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8"/>
      <c r="R2" s="98" t="s">
        <v>169</v>
      </c>
    </row>
    <row r="3" spans="2:20" ht="24" thickTop="1">
      <c r="B3" s="109" t="s">
        <v>94</v>
      </c>
      <c r="C3" s="111" t="str">
        <f>SUM(C10,E10,G10,I10,K10,M10,O10)*钻石购买 &amp;"钻石"</f>
        <v>49000钻石</v>
      </c>
      <c r="D3" s="112"/>
      <c r="E3" s="112"/>
      <c r="F3" s="112"/>
      <c r="G3" s="112"/>
      <c r="H3" s="112"/>
      <c r="I3" s="113" t="str">
        <f>SUMPRODUCT(D31:D37+F31:F37+H31:H37+J31:J37+L31:L37+N31:N37+P31:P37,抽奖道具礼包价格)
+SUMPRODUCT(D39:D42+F39:F42+H39:H42+J39:J42+L39:L42+N39:N42+P39:P42,高级兑换道具礼包价格)
+SUM(D44,F44,H44,J44,L44,N44,P44)*氪金基金价格 &amp;"元"</f>
        <v>1966元</v>
      </c>
      <c r="J3" s="113"/>
      <c r="K3" s="113"/>
      <c r="L3" s="113"/>
      <c r="M3" s="114" t="str">
        <f>SUMPRODUCT(D31:D37+F31:F37+H31:H37+J31:J37+L31:L37+N31:N37+P31:P37,抽奖道具礼包翡翠)
+SUMPRODUCT(D39:D42+F39:F42+H39:H42+J39:J42+L39:L42+N39:N42+P39:P42,高级兑换道具礼包翡翠)
+SUM(D44,F44,H44,J44,L44,N44,P44)*氪金基金翡翠 &amp; "翡翠"</f>
        <v>30000翡翠</v>
      </c>
      <c r="N3" s="114"/>
      <c r="O3" s="114"/>
      <c r="P3" s="115"/>
    </row>
    <row r="4" spans="2:20" ht="21" thickBot="1">
      <c r="B4" s="110"/>
      <c r="C4" s="116" t="str">
        <f>"最终收益："&amp;ROUNDDOWN(O29,0)&amp;B29&amp;"+"&amp;ROUNDDOWN(O28,0)&amp;B28</f>
        <v>最终收益：104月华糕+2518桂香糕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</row>
    <row r="5" spans="2:20" ht="21.6" thickTop="1" thickBot="1">
      <c r="B5" s="30" t="s">
        <v>153</v>
      </c>
      <c r="C5" s="119" t="s">
        <v>219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R5" s="98" t="s">
        <v>153</v>
      </c>
    </row>
    <row r="6" spans="2:20" ht="16.8" thickTop="1" thickBot="1">
      <c r="B6" s="66" t="s">
        <v>93</v>
      </c>
      <c r="C6" s="122" t="s">
        <v>24</v>
      </c>
      <c r="D6" s="123"/>
      <c r="E6" s="122" t="s">
        <v>25</v>
      </c>
      <c r="F6" s="123"/>
      <c r="G6" s="122" t="s">
        <v>26</v>
      </c>
      <c r="H6" s="123"/>
      <c r="I6" s="122" t="s">
        <v>27</v>
      </c>
      <c r="J6" s="123"/>
      <c r="K6" s="122" t="s">
        <v>28</v>
      </c>
      <c r="L6" s="123"/>
      <c r="M6" s="122" t="s">
        <v>29</v>
      </c>
      <c r="N6" s="123"/>
      <c r="O6" s="122" t="s">
        <v>30</v>
      </c>
      <c r="P6" s="123"/>
      <c r="R6" s="6"/>
      <c r="S6" s="23"/>
      <c r="T6" s="23"/>
    </row>
    <row r="7" spans="2:20" ht="16.8" thickTop="1" thickBot="1">
      <c r="B7" s="13" t="s">
        <v>95</v>
      </c>
      <c r="C7" s="67" t="str">
        <f>抽奖道具</f>
        <v>随机骰子</v>
      </c>
      <c r="D7" s="68" t="s">
        <v>6</v>
      </c>
      <c r="E7" s="67" t="str">
        <f>抽奖道具</f>
        <v>随机骰子</v>
      </c>
      <c r="F7" s="68" t="s">
        <v>6</v>
      </c>
      <c r="G7" s="67" t="str">
        <f>抽奖道具</f>
        <v>随机骰子</v>
      </c>
      <c r="H7" s="68" t="s">
        <v>6</v>
      </c>
      <c r="I7" s="67" t="str">
        <f>抽奖道具</f>
        <v>随机骰子</v>
      </c>
      <c r="J7" s="68" t="s">
        <v>6</v>
      </c>
      <c r="K7" s="67" t="str">
        <f>抽奖道具</f>
        <v>随机骰子</v>
      </c>
      <c r="L7" s="68" t="s">
        <v>6</v>
      </c>
      <c r="M7" s="67" t="str">
        <f>抽奖道具</f>
        <v>随机骰子</v>
      </c>
      <c r="N7" s="68" t="s">
        <v>6</v>
      </c>
      <c r="O7" s="67" t="str">
        <f>抽奖道具</f>
        <v>随机骰子</v>
      </c>
      <c r="P7" s="68" t="s">
        <v>6</v>
      </c>
      <c r="R7" s="6"/>
      <c r="S7" s="23"/>
      <c r="T7" s="23"/>
    </row>
    <row r="8" spans="2:20" ht="16.2" thickTop="1">
      <c r="B8" s="33" t="s">
        <v>39</v>
      </c>
      <c r="C8" s="3">
        <v>0</v>
      </c>
      <c r="D8" s="4">
        <f t="shared" ref="D8:P16" si="0">C8*积分规则1</f>
        <v>0</v>
      </c>
      <c r="E8" s="3"/>
      <c r="F8" s="4">
        <f t="shared" ref="F8:F16" si="1">E8*积分规则1</f>
        <v>0</v>
      </c>
      <c r="G8" s="3"/>
      <c r="H8" s="4">
        <f t="shared" ref="H8:H16" si="2">G8*积分规则1</f>
        <v>0</v>
      </c>
      <c r="I8" s="3"/>
      <c r="J8" s="4">
        <f t="shared" ref="J8:J16" si="3">I8*积分规则1</f>
        <v>0</v>
      </c>
      <c r="K8" s="3"/>
      <c r="L8" s="4">
        <f t="shared" ref="L8:L16" si="4">K8*积分规则1</f>
        <v>0</v>
      </c>
      <c r="M8" s="3"/>
      <c r="N8" s="4">
        <f t="shared" ref="N8:N16" si="5">M8*积分规则1</f>
        <v>0</v>
      </c>
      <c r="O8" s="3"/>
      <c r="P8" s="4">
        <f t="shared" ref="P8:P16" si="6">O8*积分规则1</f>
        <v>0</v>
      </c>
      <c r="R8" s="6"/>
      <c r="S8" s="23"/>
      <c r="T8" s="23"/>
    </row>
    <row r="9" spans="2:20" ht="16.2" thickBot="1">
      <c r="B9" s="13" t="s">
        <v>31</v>
      </c>
      <c r="C9" s="3">
        <f>每日任务抽奖道具数量</f>
        <v>30</v>
      </c>
      <c r="D9" s="4">
        <f t="shared" si="0"/>
        <v>60</v>
      </c>
      <c r="E9" s="3">
        <f>每日任务抽奖道具数量</f>
        <v>30</v>
      </c>
      <c r="F9" s="4">
        <f t="shared" si="1"/>
        <v>60</v>
      </c>
      <c r="G9" s="3">
        <f>每日任务抽奖道具数量</f>
        <v>30</v>
      </c>
      <c r="H9" s="4">
        <f t="shared" si="2"/>
        <v>60</v>
      </c>
      <c r="I9" s="3">
        <f>每日任务抽奖道具数量</f>
        <v>30</v>
      </c>
      <c r="J9" s="4">
        <f t="shared" si="3"/>
        <v>60</v>
      </c>
      <c r="K9" s="3">
        <f>每日任务抽奖道具数量</f>
        <v>30</v>
      </c>
      <c r="L9" s="4">
        <f t="shared" si="4"/>
        <v>60</v>
      </c>
      <c r="M9" s="3">
        <f>每日任务抽奖道具数量</f>
        <v>30</v>
      </c>
      <c r="N9" s="4">
        <f t="shared" si="5"/>
        <v>60</v>
      </c>
      <c r="O9" s="3">
        <f>每日任务抽奖道具数量</f>
        <v>30</v>
      </c>
      <c r="P9" s="4">
        <f t="shared" si="6"/>
        <v>60</v>
      </c>
    </row>
    <row r="10" spans="2:20" ht="16.8" thickTop="1" thickBot="1">
      <c r="B10" s="14" t="s">
        <v>17</v>
      </c>
      <c r="C10" s="3">
        <v>70</v>
      </c>
      <c r="D10" s="4">
        <f t="shared" si="0"/>
        <v>140</v>
      </c>
      <c r="E10" s="3">
        <v>70</v>
      </c>
      <c r="F10" s="4">
        <f t="shared" si="1"/>
        <v>140</v>
      </c>
      <c r="G10" s="3">
        <v>70</v>
      </c>
      <c r="H10" s="4">
        <f t="shared" si="2"/>
        <v>140</v>
      </c>
      <c r="I10" s="3">
        <v>70</v>
      </c>
      <c r="J10" s="4">
        <f t="shared" si="3"/>
        <v>140</v>
      </c>
      <c r="K10" s="3">
        <v>70</v>
      </c>
      <c r="L10" s="4">
        <f t="shared" si="4"/>
        <v>140</v>
      </c>
      <c r="M10" s="3">
        <v>70</v>
      </c>
      <c r="N10" s="4">
        <f t="shared" si="5"/>
        <v>140</v>
      </c>
      <c r="O10" s="3">
        <v>70</v>
      </c>
      <c r="P10" s="4">
        <f t="shared" si="6"/>
        <v>140</v>
      </c>
      <c r="R10" s="98" t="s">
        <v>176</v>
      </c>
    </row>
    <row r="11" spans="2:20" ht="16.8" thickTop="1" thickBot="1">
      <c r="B11" s="35" t="s">
        <v>35</v>
      </c>
      <c r="C11" s="3">
        <f>D43*免费基金抽奖道具</f>
        <v>0</v>
      </c>
      <c r="D11" s="4">
        <f t="shared" si="0"/>
        <v>0</v>
      </c>
      <c r="E11" s="3">
        <f>F43*免费基金抽奖道具</f>
        <v>0</v>
      </c>
      <c r="F11" s="4">
        <f t="shared" si="1"/>
        <v>0</v>
      </c>
      <c r="G11" s="3">
        <f>H43*免费基金抽奖道具</f>
        <v>0</v>
      </c>
      <c r="H11" s="4">
        <f t="shared" si="2"/>
        <v>0</v>
      </c>
      <c r="I11" s="3">
        <f>J43*免费基金抽奖道具</f>
        <v>0</v>
      </c>
      <c r="J11" s="4">
        <f t="shared" si="3"/>
        <v>0</v>
      </c>
      <c r="K11" s="3">
        <f>L43*免费基金抽奖道具</f>
        <v>0</v>
      </c>
      <c r="L11" s="4">
        <f t="shared" si="4"/>
        <v>0</v>
      </c>
      <c r="M11" s="3">
        <f>N43*免费基金抽奖道具</f>
        <v>0</v>
      </c>
      <c r="N11" s="4">
        <f t="shared" si="5"/>
        <v>0</v>
      </c>
      <c r="O11" s="3">
        <f>P43*免费基金抽奖道具</f>
        <v>75</v>
      </c>
      <c r="P11" s="4">
        <f t="shared" si="6"/>
        <v>150</v>
      </c>
    </row>
    <row r="12" spans="2:20" ht="16.2" thickTop="1">
      <c r="B12" s="13" t="s">
        <v>36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20">
      <c r="B13" s="3" t="s">
        <v>42</v>
      </c>
      <c r="C13" s="3">
        <f>每日广告抽奖道具数量</f>
        <v>2</v>
      </c>
      <c r="D13" s="4">
        <f t="shared" si="0"/>
        <v>4</v>
      </c>
      <c r="E13" s="3">
        <f>每日广告抽奖道具数量</f>
        <v>2</v>
      </c>
      <c r="F13" s="4">
        <f t="shared" si="0"/>
        <v>4</v>
      </c>
      <c r="G13" s="3">
        <f>每日广告抽奖道具数量</f>
        <v>2</v>
      </c>
      <c r="H13" s="4">
        <f t="shared" si="0"/>
        <v>4</v>
      </c>
      <c r="I13" s="3">
        <f>每日广告抽奖道具数量</f>
        <v>2</v>
      </c>
      <c r="J13" s="4">
        <f t="shared" si="0"/>
        <v>4</v>
      </c>
      <c r="K13" s="3">
        <f>每日广告抽奖道具数量</f>
        <v>2</v>
      </c>
      <c r="L13" s="4">
        <f t="shared" si="0"/>
        <v>4</v>
      </c>
      <c r="M13" s="3">
        <f>每日广告抽奖道具数量</f>
        <v>2</v>
      </c>
      <c r="N13" s="4">
        <f t="shared" si="0"/>
        <v>4</v>
      </c>
      <c r="O13" s="3">
        <f>每日广告抽奖道具数量</f>
        <v>2</v>
      </c>
      <c r="P13" s="4">
        <f t="shared" si="0"/>
        <v>4</v>
      </c>
    </row>
    <row r="14" spans="2:20" ht="16.2" thickBot="1">
      <c r="B14" s="34" t="s">
        <v>73</v>
      </c>
      <c r="C14" s="3">
        <v>0</v>
      </c>
      <c r="D14" s="4">
        <f>C14*积分规则1</f>
        <v>0</v>
      </c>
      <c r="E14" s="3">
        <v>0</v>
      </c>
      <c r="F14" s="4">
        <f>E14*积分规则1</f>
        <v>0</v>
      </c>
      <c r="G14" s="3">
        <v>0</v>
      </c>
      <c r="H14" s="4">
        <f>G14*积分规则1</f>
        <v>0</v>
      </c>
      <c r="I14" s="3">
        <v>0</v>
      </c>
      <c r="J14" s="4">
        <f>I14*积分规则1</f>
        <v>0</v>
      </c>
      <c r="K14" s="3">
        <v>0</v>
      </c>
      <c r="L14" s="4">
        <f>K14*积分规则1</f>
        <v>0</v>
      </c>
      <c r="M14" s="3">
        <v>0</v>
      </c>
      <c r="N14" s="4">
        <f>M14*积分规则1</f>
        <v>0</v>
      </c>
      <c r="O14" s="3">
        <v>0</v>
      </c>
      <c r="P14" s="4">
        <f>O14*积分规则1</f>
        <v>0</v>
      </c>
    </row>
    <row r="15" spans="2:20" ht="16.2" thickTop="1">
      <c r="B15" s="69" t="s">
        <v>37</v>
      </c>
      <c r="C15" s="3">
        <f>SUMPRODUCT(D31:D37,抽奖道具礼包道具数)</f>
        <v>0</v>
      </c>
      <c r="D15" s="4">
        <f t="shared" si="0"/>
        <v>0</v>
      </c>
      <c r="E15" s="3">
        <f>SUM(F31*抽奖道具礼包1,F32*抽奖道具礼包2,F33*抽奖道具礼包3,F34*抽奖道具礼包4,F35*抽奖道具礼包5,F36*抽奖道具礼包6,F37*抽奖道具礼包7)</f>
        <v>0</v>
      </c>
      <c r="F15" s="4">
        <f t="shared" si="1"/>
        <v>0</v>
      </c>
      <c r="G15" s="3">
        <f>SUM(H31*抽奖道具礼包1,H32*抽奖道具礼包2,H33*抽奖道具礼包3,H34*抽奖道具礼包4,H35*抽奖道具礼包5,H36*抽奖道具礼包6,H37*抽奖道具礼包7)</f>
        <v>0</v>
      </c>
      <c r="H15" s="4">
        <f t="shared" si="2"/>
        <v>0</v>
      </c>
      <c r="I15" s="3">
        <f>SUM(J31*抽奖道具礼包1,J32*抽奖道具礼包2,J33*抽奖道具礼包3,J34*抽奖道具礼包4,J35*抽奖道具礼包5,J36*抽奖道具礼包6,J37*抽奖道具礼包7)</f>
        <v>75</v>
      </c>
      <c r="J15" s="4">
        <f t="shared" si="3"/>
        <v>150</v>
      </c>
      <c r="K15" s="3">
        <f>SUM(L31*抽奖道具礼包1,L32*抽奖道具礼包2,L33*抽奖道具礼包3,L34*抽奖道具礼包4,L35*抽奖道具礼包5,L36*抽奖道具礼包6,L37*抽奖道具礼包7)</f>
        <v>165</v>
      </c>
      <c r="L15" s="4">
        <f t="shared" si="4"/>
        <v>330</v>
      </c>
      <c r="M15" s="3">
        <f>SUM(N31*抽奖道具礼包1,N32*抽奖道具礼包2,N33*抽奖道具礼包3,N34*抽奖道具礼包4,N35*抽奖道具礼包5,N36*抽奖道具礼包6,N37*抽奖道具礼包7)</f>
        <v>315</v>
      </c>
      <c r="N15" s="4">
        <f t="shared" si="5"/>
        <v>630</v>
      </c>
      <c r="O15" s="3">
        <f>SUM(P31*抽奖道具礼包1,P32*抽奖道具礼包2,P33*抽奖道具礼包3,P34*抽奖道具礼包4,P35*抽奖道具礼包5,P36*抽奖道具礼包6,P37*抽奖道具礼包7)</f>
        <v>315</v>
      </c>
      <c r="P15" s="4">
        <f t="shared" si="6"/>
        <v>630</v>
      </c>
    </row>
    <row r="16" spans="2:20" ht="16.2" thickBot="1">
      <c r="B16" s="50" t="s">
        <v>38</v>
      </c>
      <c r="C16" s="3">
        <f>D44*氪金基金抽奖道具</f>
        <v>0</v>
      </c>
      <c r="D16" s="4">
        <f t="shared" si="0"/>
        <v>0</v>
      </c>
      <c r="E16" s="3">
        <f>F44*氪金基金抽奖道具</f>
        <v>0</v>
      </c>
      <c r="F16" s="4">
        <f t="shared" si="1"/>
        <v>0</v>
      </c>
      <c r="G16" s="3">
        <f>H44*氪金基金抽奖道具</f>
        <v>0</v>
      </c>
      <c r="H16" s="4">
        <f t="shared" si="2"/>
        <v>0</v>
      </c>
      <c r="I16" s="3">
        <f>J44*氪金基金抽奖道具</f>
        <v>0</v>
      </c>
      <c r="J16" s="4">
        <f t="shared" si="3"/>
        <v>0</v>
      </c>
      <c r="K16" s="3">
        <f>L44*氪金基金抽奖道具</f>
        <v>0</v>
      </c>
      <c r="L16" s="4">
        <f t="shared" si="4"/>
        <v>0</v>
      </c>
      <c r="M16" s="3">
        <f>N44*氪金基金抽奖道具</f>
        <v>0</v>
      </c>
      <c r="N16" s="4">
        <f t="shared" si="5"/>
        <v>0</v>
      </c>
      <c r="O16" s="3">
        <f>P44*氪金基金抽奖道具</f>
        <v>140</v>
      </c>
      <c r="P16" s="4">
        <f t="shared" si="6"/>
        <v>280</v>
      </c>
    </row>
    <row r="17" spans="2:19" ht="16.8" thickTop="1" thickBot="1">
      <c r="B17" s="40" t="str">
        <f>"使用"&amp;抽奖道具</f>
        <v>使用随机骰子</v>
      </c>
      <c r="C17" s="3">
        <v>0</v>
      </c>
      <c r="D17" s="4">
        <f>C17*积分规则3</f>
        <v>0</v>
      </c>
      <c r="E17" s="3">
        <v>0</v>
      </c>
      <c r="F17" s="4">
        <f>E17*积分规则3</f>
        <v>0</v>
      </c>
      <c r="G17" s="3">
        <v>0</v>
      </c>
      <c r="H17" s="4">
        <f>G17*积分规则3</f>
        <v>0</v>
      </c>
      <c r="I17" s="3">
        <v>0</v>
      </c>
      <c r="J17" s="4">
        <f>I17*积分规则3</f>
        <v>0</v>
      </c>
      <c r="K17" s="3">
        <v>0</v>
      </c>
      <c r="L17" s="4">
        <f>K17*积分规则3</f>
        <v>0</v>
      </c>
      <c r="M17" s="3">
        <v>1046</v>
      </c>
      <c r="N17" s="4">
        <f>M17*积分规则3</f>
        <v>1220.3333333333333</v>
      </c>
      <c r="O17" s="3">
        <v>753</v>
      </c>
      <c r="P17" s="4">
        <f>O17*积分规则3</f>
        <v>878.49999999999989</v>
      </c>
      <c r="R17" s="98" t="s">
        <v>175</v>
      </c>
    </row>
    <row r="18" spans="2:19" ht="16.8" thickTop="1" thickBot="1">
      <c r="B18" s="36" t="str">
        <f>"剩余"&amp;抽奖道具</f>
        <v>剩余随机骰子</v>
      </c>
      <c r="C18" s="3">
        <f>C26-C17</f>
        <v>102</v>
      </c>
      <c r="D18" s="87">
        <f>C18*积分规则3</f>
        <v>118.99999999999999</v>
      </c>
      <c r="E18" s="3">
        <f>C18+SUM(E8:E16)-E17</f>
        <v>204</v>
      </c>
      <c r="F18" s="87">
        <f>E18*积分规则3</f>
        <v>237.99999999999997</v>
      </c>
      <c r="G18" s="3">
        <f>E18+SUM(G8:G16)-G17</f>
        <v>306</v>
      </c>
      <c r="H18" s="87">
        <f>G18*积分规则3</f>
        <v>356.99999999999994</v>
      </c>
      <c r="I18" s="3">
        <f>G18+SUM(I8:I16)-I17</f>
        <v>483</v>
      </c>
      <c r="J18" s="87">
        <f>I18*积分规则3</f>
        <v>563.49999999999989</v>
      </c>
      <c r="K18" s="3">
        <f>I18+SUM(K8:K16)-K17</f>
        <v>750</v>
      </c>
      <c r="L18" s="87">
        <f>K18*积分规则3</f>
        <v>874.99999999999989</v>
      </c>
      <c r="M18" s="3">
        <f>K18+SUM(M8:M16)-M17</f>
        <v>121</v>
      </c>
      <c r="N18" s="87">
        <f>M18*积分规则3</f>
        <v>141.16666666666666</v>
      </c>
      <c r="O18" s="3">
        <f>M18+SUM(O8:O16)-O17</f>
        <v>0</v>
      </c>
      <c r="P18" s="87">
        <f>O18*积分规则3</f>
        <v>0</v>
      </c>
      <c r="R18" s="26"/>
      <c r="S18" s="26"/>
    </row>
    <row r="19" spans="2:19" ht="16.8" thickTop="1" thickBot="1">
      <c r="B19" s="37" t="s">
        <v>32</v>
      </c>
      <c r="C19" s="3">
        <v>0</v>
      </c>
      <c r="D19" s="4">
        <f>C19*随机箱积分</f>
        <v>0</v>
      </c>
      <c r="E19" s="3">
        <v>0</v>
      </c>
      <c r="F19" s="4">
        <f>E19*随机箱积分</f>
        <v>0</v>
      </c>
      <c r="G19" s="3">
        <v>0</v>
      </c>
      <c r="H19" s="4">
        <f>G19*随机箱积分</f>
        <v>0</v>
      </c>
      <c r="I19" s="3">
        <v>0</v>
      </c>
      <c r="J19" s="4">
        <f>I19*随机箱积分</f>
        <v>0</v>
      </c>
      <c r="K19" s="3">
        <v>0</v>
      </c>
      <c r="L19" s="4">
        <f>K19*随机箱积分</f>
        <v>0</v>
      </c>
      <c r="M19" s="3">
        <v>0</v>
      </c>
      <c r="N19" s="4">
        <f>M19*随机箱积分</f>
        <v>0</v>
      </c>
      <c r="O19" s="3">
        <v>92</v>
      </c>
      <c r="P19" s="4">
        <f>O19*随机箱积分</f>
        <v>0</v>
      </c>
      <c r="R19" s="98" t="s">
        <v>177</v>
      </c>
      <c r="S19" s="26"/>
    </row>
    <row r="20" spans="2:19" ht="16.8" thickTop="1" thickBot="1">
      <c r="B20" s="36" t="s">
        <v>33</v>
      </c>
      <c r="C20" s="3">
        <f>C27-SUM(C19)+D44*氪金基金随机箱</f>
        <v>1</v>
      </c>
      <c r="D20" s="4">
        <f>C20*随机箱积分</f>
        <v>0</v>
      </c>
      <c r="E20" s="3">
        <f>E27-SUM(C19,E19)+F44*氪金基金随机箱</f>
        <v>2</v>
      </c>
      <c r="F20" s="4">
        <f>E20*随机箱积分</f>
        <v>0</v>
      </c>
      <c r="G20" s="3">
        <f>G27-SUM(C19,E19,G19)+H44*氪金基金随机箱</f>
        <v>3</v>
      </c>
      <c r="H20" s="4">
        <f>G20*随机箱积分</f>
        <v>0</v>
      </c>
      <c r="I20" s="3">
        <f>I27-SUM(C19,E19,G19,I19)+J44*氪金基金随机箱</f>
        <v>5</v>
      </c>
      <c r="J20" s="4">
        <f>I20*随机箱积分</f>
        <v>0</v>
      </c>
      <c r="K20" s="3">
        <f>K27-SUM(C19,E19,G19,I19,K19)+L44*氪金基金随机箱</f>
        <v>10</v>
      </c>
      <c r="L20" s="4">
        <f>K20*随机箱积分</f>
        <v>0</v>
      </c>
      <c r="M20" s="3">
        <f>M27-SUM(C19,E19,G19,I19,K19,M19)+N44*氪金基金随机箱</f>
        <v>51</v>
      </c>
      <c r="N20" s="4">
        <f>M20*随机箱积分</f>
        <v>0</v>
      </c>
      <c r="O20" s="3">
        <f>O27-SUM(C19,E19,G19,I19,K19,M19,O19)+P44*氪金基金随机箱</f>
        <v>0</v>
      </c>
      <c r="P20" s="4">
        <f>O20*随机箱积分</f>
        <v>0</v>
      </c>
      <c r="R20" s="26"/>
      <c r="S20" s="26"/>
    </row>
    <row r="21" spans="2:19" ht="16.8" thickTop="1" thickBot="1">
      <c r="B21" s="38" t="str">
        <f xml:space="preserve"> "兑换"&amp; 高级兑换道具</f>
        <v>兑换月华糕</v>
      </c>
      <c r="C21" s="3">
        <v>0</v>
      </c>
      <c r="D21" s="4">
        <f>C21*积分规则2</f>
        <v>0</v>
      </c>
      <c r="E21" s="3">
        <v>0</v>
      </c>
      <c r="F21" s="4">
        <f>E21*积分规则2</f>
        <v>0</v>
      </c>
      <c r="G21" s="3">
        <v>0</v>
      </c>
      <c r="H21" s="4">
        <f>G21*积分规则2</f>
        <v>0</v>
      </c>
      <c r="I21" s="3">
        <v>0</v>
      </c>
      <c r="J21" s="4">
        <f>I21*积分规则2</f>
        <v>0</v>
      </c>
      <c r="K21" s="3">
        <v>0</v>
      </c>
      <c r="L21" s="4">
        <f>K21*积分规则2</f>
        <v>0</v>
      </c>
      <c r="M21" s="3">
        <v>0</v>
      </c>
      <c r="N21" s="4">
        <f>M21*积分规则2</f>
        <v>0</v>
      </c>
      <c r="O21" s="3">
        <v>0</v>
      </c>
      <c r="P21" s="4">
        <f>O21*积分规则2</f>
        <v>0</v>
      </c>
      <c r="R21" s="98" t="s">
        <v>179</v>
      </c>
    </row>
    <row r="22" spans="2:19" ht="16.2" thickTop="1">
      <c r="B22" s="70" t="str">
        <f xml:space="preserve"> "氪金"&amp;高级兑换道具</f>
        <v>氪金月华糕</v>
      </c>
      <c r="C22" s="3">
        <f>SUMPRODUCT(D39:D42,高级兑换道具礼包道具数)</f>
        <v>0</v>
      </c>
      <c r="D22" s="4">
        <f>C22*积分规则2</f>
        <v>0</v>
      </c>
      <c r="E22" s="3">
        <f>SUM(F39*高级兑换道具礼包1,F40*高级兑换道具礼包2,F41*高级兑换道具礼包3,F42*高级兑换道具礼包4)</f>
        <v>0</v>
      </c>
      <c r="F22" s="4">
        <f>E22*积分规则2</f>
        <v>0</v>
      </c>
      <c r="G22" s="3">
        <f>SUM(H39*高级兑换道具礼包1,H40*高级兑换道具礼包2,H41*高级兑换道具礼包3,H42*高级兑换道具礼包4)</f>
        <v>0</v>
      </c>
      <c r="H22" s="4">
        <f>G22*积分规则2</f>
        <v>0</v>
      </c>
      <c r="I22" s="3">
        <f>SUM(J39*高级兑换道具礼包1,J40*高级兑换道具礼包2,J41*高级兑换道具礼包3,J42*高级兑换道具礼包4)</f>
        <v>0</v>
      </c>
      <c r="J22" s="4">
        <f>I22*积分规则2</f>
        <v>0</v>
      </c>
      <c r="K22" s="3">
        <f>SUM(L39*高级兑换道具礼包1,L40*高级兑换道具礼包2,L41*高级兑换道具礼包3,L42*高级兑换道具礼包4)</f>
        <v>0</v>
      </c>
      <c r="L22" s="4">
        <f>K22*积分规则2</f>
        <v>0</v>
      </c>
      <c r="M22" s="3">
        <f>SUM(N39*高级兑换道具礼包1,N40*高级兑换道具礼包2,N41*高级兑换道具礼包3,N42*高级兑换道具礼包4)</f>
        <v>0</v>
      </c>
      <c r="N22" s="4">
        <f>M22*积分规则2</f>
        <v>0</v>
      </c>
      <c r="O22" s="3">
        <f>SUM(P39*高级兑换道具礼包1,P40*高级兑换道具礼包2,P41*高级兑换道具礼包3,P42*高级兑换道具礼包4)</f>
        <v>8</v>
      </c>
      <c r="P22" s="4">
        <f>O22*积分规则2</f>
        <v>0</v>
      </c>
    </row>
    <row r="23" spans="2:19" ht="16.2" thickBot="1">
      <c r="B23" s="13" t="s">
        <v>40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</row>
    <row r="24" spans="2:19" ht="16.8" thickTop="1" thickBot="1">
      <c r="B24" s="65" t="s">
        <v>98</v>
      </c>
      <c r="C24" s="42" t="str">
        <f>IFERROR(LOOKUP(D24,档位积分1:档位积分5,第1档:第5档),"无奖励")</f>
        <v>第1档</v>
      </c>
      <c r="D24" s="43">
        <f>SUM(D8:D17)+D19+SUM(D21:D23)</f>
        <v>204</v>
      </c>
      <c r="E24" s="44" t="str">
        <f>IFERROR(LOOKUP(F24,档位积分1:档位积分5,第1档:第5档),"无奖励")</f>
        <v>第1档</v>
      </c>
      <c r="F24" s="43">
        <f>SUM(F8:F17)+F19+SUM(F21:F23)</f>
        <v>204</v>
      </c>
      <c r="G24" s="44" t="str">
        <f>IFERROR(LOOKUP(H24,档位积分1:档位积分5,第1档:第5档),"无奖励")</f>
        <v>第1档</v>
      </c>
      <c r="H24" s="43">
        <f>SUM(H8:H17)+H19+SUM(H21:H23)</f>
        <v>204</v>
      </c>
      <c r="I24" s="44" t="str">
        <f>IFERROR(LOOKUP(J24,档位积分1:档位积分5,第1档:第5档),"无奖励")</f>
        <v>第2档</v>
      </c>
      <c r="J24" s="43">
        <f>SUM(J8:J17)+J19+SUM(J21:J23)</f>
        <v>354</v>
      </c>
      <c r="K24" s="44" t="str">
        <f>IFERROR(LOOKUP(L24,档位积分1:档位积分5,第1档:第5档),"无奖励")</f>
        <v>第3档</v>
      </c>
      <c r="L24" s="43">
        <f>SUM(L8:L17)+L19+SUM(L21:L23)</f>
        <v>534</v>
      </c>
      <c r="M24" s="44" t="str">
        <f>IFERROR(LOOKUP(N24,档位积分1:档位积分5,第1档:第5档),"无奖励")</f>
        <v>第5档</v>
      </c>
      <c r="N24" s="43">
        <f>SUM(N8:N17)+N19+SUM(N21:N23)</f>
        <v>2054.333333333333</v>
      </c>
      <c r="O24" s="44" t="str">
        <f>IFERROR(LOOKUP(P24,档位积分1:档位积分5,第1档:第5档),"无奖励")</f>
        <v>第5档</v>
      </c>
      <c r="P24" s="43">
        <f>SUM(P8:P17)+P19+SUM(P21:P23)</f>
        <v>2142.5</v>
      </c>
    </row>
    <row r="25" spans="2:19" ht="16.8" thickTop="1" thickBot="1">
      <c r="B25" s="13" t="s">
        <v>99</v>
      </c>
      <c r="C25" s="85">
        <f>D24-IF(C24="无奖励", "",
   INDEX(档位积分1:档位积分5, MATCH(D24, 档位积分1:档位积分5, 1)))</f>
        <v>114</v>
      </c>
      <c r="D25" s="86">
        <f>IF(D24&gt;=MAX(档位积分1:档位积分5), "",
   IF(D24&lt;MIN(档位积分1:档位积分5), MIN(档位积分1:档位积分5),
      INDEX(档位积分1:档位积分5, MATCH(D24, 档位积分1:档位积分5, 1)+1)-D24))</f>
        <v>96</v>
      </c>
      <c r="E25" s="85">
        <f>F24-IF(E24="无奖励", "",
   INDEX(档位积分1:档位积分5, MATCH(F24, 档位积分1:档位积分5, 1)))</f>
        <v>114</v>
      </c>
      <c r="F25" s="86">
        <f>IF(F24&gt;=MAX(档位积分1:档位积分5), "",
   IF(F24&lt;MIN(档位积分1:档位积分5), MIN(档位积分1:档位积分5),
      INDEX(档位积分1:档位积分5, MATCH(F24, 档位积分1:档位积分5, 1)+1)-F24))</f>
        <v>96</v>
      </c>
      <c r="G25" s="85">
        <f>H24-IF(G24="无奖励", "",
   INDEX(档位积分1:档位积分5, MATCH(H24, 档位积分1:档位积分5, 1)))</f>
        <v>114</v>
      </c>
      <c r="H25" s="86">
        <f>IF(H24&gt;=MAX(档位积分1:档位积分5), "",
   IF(H24&lt;MIN(档位积分1:档位积分5), MIN(档位积分1:档位积分5),
      INDEX(档位积分1:档位积分5, MATCH(H24, 档位积分1:档位积分5, 1)+1)-H24))</f>
        <v>96</v>
      </c>
      <c r="I25" s="85">
        <f>J24-IF(I24="无奖励", "",
   INDEX(档位积分1:档位积分5, MATCH(J24, 档位积分1:档位积分5, 1)))</f>
        <v>54</v>
      </c>
      <c r="J25" s="86">
        <f>IF(J24&gt;=MAX(档位积分1:档位积分5), "",
   IF(J24&lt;MIN(档位积分1:档位积分5), MIN(档位积分1:档位积分5),
      INDEX(档位积分1:档位积分5, MATCH(J24, 档位积分1:档位积分5, 1)+1)-J24))</f>
        <v>168</v>
      </c>
      <c r="K25" s="85">
        <f>L24-IF(K24="无奖励", "",
   INDEX(档位积分1:档位积分5, MATCH(L24, 档位积分1:档位积分5, 1)))</f>
        <v>12</v>
      </c>
      <c r="L25" s="86">
        <f>IF(L24&gt;=MAX(档位积分1:档位积分5), "",
   IF(L24&lt;MIN(档位积分1:档位积分5), MIN(档位积分1:档位积分5),
      INDEX(档位积分1:档位积分5, MATCH(L24, 档位积分1:档位积分5, 1)+1)-L24))</f>
        <v>708</v>
      </c>
      <c r="M25" s="85">
        <f>N24-IF(M24="无奖励", "",
   INDEX(档位积分1:档位积分5, MATCH(N24, 档位积分1:档位积分5, 1)))</f>
        <v>2.3333333333330302</v>
      </c>
      <c r="N25" s="86" t="str">
        <f>IF(N24&gt;=MAX(档位积分1:档位积分5), "",
   IF(N24&lt;MIN(档位积分1:档位积分5), MIN(档位积分1:档位积分5),
      INDEX(档位积分1:档位积分5, MATCH(N24, 档位积分1:档位积分5, 1)+1)-N24))</f>
        <v/>
      </c>
      <c r="O25" s="85">
        <f>P24-IF(O24="无奖励", "",
   INDEX(档位积分1:档位积分5, MATCH(P24, 档位积分1:档位积分5, 1)))</f>
        <v>90.5</v>
      </c>
      <c r="P25" s="86" t="str">
        <f>IF(P24&gt;=MAX(档位积分1:档位积分5), "",
   IF(P24&lt;MIN(档位积分1:档位积分5), MIN(档位积分1:档位积分5),
      INDEX(档位积分1:档位积分5, MATCH(P24, 档位积分1:档位积分5, 1)+1)-P24))</f>
        <v/>
      </c>
    </row>
    <row r="26" spans="2:19" ht="16.2" thickTop="1">
      <c r="B26" s="41" t="str">
        <f>"总"&amp;抽奖道具</f>
        <v>总随机骰子</v>
      </c>
      <c r="C26" s="31">
        <f>SUM(C8:C16)</f>
        <v>102</v>
      </c>
      <c r="D26" s="49">
        <f>C26*积分规则3</f>
        <v>118.99999999999999</v>
      </c>
      <c r="E26" s="31">
        <f>C26+SUM(E8:E16)</f>
        <v>204</v>
      </c>
      <c r="F26" s="49">
        <f>E26*积分规则3</f>
        <v>237.99999999999997</v>
      </c>
      <c r="G26" s="31">
        <f>E26+SUM(G8:G16)</f>
        <v>306</v>
      </c>
      <c r="H26" s="49">
        <f>G26*积分规则3</f>
        <v>356.99999999999994</v>
      </c>
      <c r="I26" s="31">
        <f>G26+SUM(I8:I16)</f>
        <v>483</v>
      </c>
      <c r="J26" s="49">
        <f>I26*积分规则3</f>
        <v>563.49999999999989</v>
      </c>
      <c r="K26" s="31">
        <f>I26+SUM(K8:K16)</f>
        <v>750</v>
      </c>
      <c r="L26" s="49">
        <f>K26*积分规则3</f>
        <v>874.99999999999989</v>
      </c>
      <c r="M26" s="31">
        <f>K26+SUM(M8:M16)</f>
        <v>1167</v>
      </c>
      <c r="N26" s="49">
        <f>M26*积分规则3</f>
        <v>1361.4999999999998</v>
      </c>
      <c r="O26" s="31">
        <f>M26+SUM(O8:O16)</f>
        <v>1799</v>
      </c>
      <c r="P26" s="49">
        <f>O26*积分规则3</f>
        <v>2098.833333333333</v>
      </c>
    </row>
    <row r="27" spans="2:19" ht="16.2" thickBot="1">
      <c r="B27" s="30" t="s">
        <v>41</v>
      </c>
      <c r="C27" s="5">
        <f>IFERROR(LOOKUP(D24,档位积分1:档位积分5,档位奖励1:档位奖励5),0)</f>
        <v>1</v>
      </c>
      <c r="D27" s="12">
        <f>C27*随机箱积分</f>
        <v>0</v>
      </c>
      <c r="E27" s="5">
        <f>IFERROR(LOOKUP(F24,档位积分1:档位积分5,档位奖励1:档位奖励5),0)+C27</f>
        <v>2</v>
      </c>
      <c r="F27" s="12">
        <f>E27*随机箱积分</f>
        <v>0</v>
      </c>
      <c r="G27" s="5">
        <f>IFERROR(LOOKUP(H24,档位积分1:档位积分5,档位奖励1:档位奖励5),0)+E27</f>
        <v>3</v>
      </c>
      <c r="H27" s="12">
        <f>G27*随机箱积分</f>
        <v>0</v>
      </c>
      <c r="I27" s="5">
        <f>IFERROR(LOOKUP(J24,档位积分1:档位积分5,档位奖励1:档位奖励5),0)+G27</f>
        <v>5</v>
      </c>
      <c r="J27" s="12">
        <f>I27*随机箱积分</f>
        <v>0</v>
      </c>
      <c r="K27" s="5">
        <f>IFERROR(LOOKUP(L24,档位积分1:档位积分5,档位奖励1:档位奖励5),0)+I27</f>
        <v>10</v>
      </c>
      <c r="L27" s="12">
        <f>K27*随机箱积分</f>
        <v>0</v>
      </c>
      <c r="M27" s="5">
        <f>IFERROR(LOOKUP(N24,档位积分1:档位积分5,档位奖励1:档位奖励5),0)+K27</f>
        <v>51</v>
      </c>
      <c r="N27" s="12">
        <f>M27*随机箱积分</f>
        <v>0</v>
      </c>
      <c r="O27" s="5">
        <f>IFERROR(LOOKUP(P24,档位积分1:档位积分5,档位奖励1:档位奖励5),0)+M27</f>
        <v>92</v>
      </c>
      <c r="P27" s="12">
        <f>O27*随机箱积分</f>
        <v>0</v>
      </c>
    </row>
    <row r="28" spans="2:19" ht="16.2" thickTop="1">
      <c r="B28" s="33" t="str">
        <f>普通兑换道具</f>
        <v>桂香糕</v>
      </c>
      <c r="C28" s="45">
        <f>C17*普通兑换道具抽奖期望</f>
        <v>0</v>
      </c>
      <c r="D28" s="32"/>
      <c r="E28" s="45">
        <f>E17*普通兑换道具抽奖期望+C28</f>
        <v>0</v>
      </c>
      <c r="F28" s="46"/>
      <c r="G28" s="45">
        <f>G17*普通兑换道具抽奖期望+E28</f>
        <v>0</v>
      </c>
      <c r="H28" s="46"/>
      <c r="I28" s="45">
        <f>I17*普通兑换道具抽奖期望+G28</f>
        <v>0</v>
      </c>
      <c r="J28" s="46"/>
      <c r="K28" s="45">
        <f>K17*普通兑换道具抽奖期望+I28</f>
        <v>0</v>
      </c>
      <c r="L28" s="46"/>
      <c r="M28" s="45">
        <f>M17*普通兑换道具抽奖期望+K28</f>
        <v>1464.3999999999999</v>
      </c>
      <c r="N28" s="46"/>
      <c r="O28" s="45">
        <f>O17*普通兑换道具抽奖期望+M28</f>
        <v>2518.6</v>
      </c>
      <c r="P28" s="32"/>
    </row>
    <row r="29" spans="2:19" ht="16.2" thickBot="1">
      <c r="B29" s="34" t="str">
        <f>高级兑换道具</f>
        <v>月华糕</v>
      </c>
      <c r="C29" s="47">
        <f>C17*高级兑换道具抽奖期望+C19*随机箱高级道具期望+C21+C22</f>
        <v>0</v>
      </c>
      <c r="D29" s="12"/>
      <c r="E29" s="47">
        <f>E17*高级兑换道具抽奖期望+E19*随机箱高级道具期望+E21+E22+C29</f>
        <v>0</v>
      </c>
      <c r="F29" s="48"/>
      <c r="G29" s="47">
        <f>G17*高级兑换道具抽奖期望+G19*随机箱高级道具期望+G21+G22+E29</f>
        <v>0</v>
      </c>
      <c r="H29" s="48"/>
      <c r="I29" s="47">
        <f>I17*高级兑换道具抽奖期望+I19*随机箱高级道具期望+I21+I22+G29</f>
        <v>0</v>
      </c>
      <c r="J29" s="48"/>
      <c r="K29" s="47">
        <f>K17*高级兑换道具抽奖期望+K19*随机箱高级道具期望+K21+K22+I29</f>
        <v>0</v>
      </c>
      <c r="L29" s="48"/>
      <c r="M29" s="47">
        <f>M17*高级兑换道具抽奖期望+M19*随机箱高级道具期望+M21+M22+K29</f>
        <v>0</v>
      </c>
      <c r="N29" s="48"/>
      <c r="O29" s="52">
        <f>O17*高级兑换道具抽奖期望+O19*随机箱高级道具期望+O21+O22+M29</f>
        <v>104.69199999999999</v>
      </c>
      <c r="P29" s="12"/>
    </row>
    <row r="30" spans="2:19" ht="16.8" thickTop="1" thickBot="1">
      <c r="B30" s="41" t="s">
        <v>97</v>
      </c>
      <c r="C30" s="55" t="str">
        <f>C7</f>
        <v>随机骰子</v>
      </c>
      <c r="D30" s="56" t="s">
        <v>96</v>
      </c>
      <c r="E30" s="55" t="str">
        <f>E7</f>
        <v>随机骰子</v>
      </c>
      <c r="F30" s="56" t="s">
        <v>96</v>
      </c>
      <c r="G30" s="55" t="str">
        <f>G7</f>
        <v>随机骰子</v>
      </c>
      <c r="H30" s="56" t="s">
        <v>96</v>
      </c>
      <c r="I30" s="55" t="str">
        <f>I7</f>
        <v>随机骰子</v>
      </c>
      <c r="J30" s="56" t="s">
        <v>96</v>
      </c>
      <c r="K30" s="55" t="str">
        <f>K7</f>
        <v>随机骰子</v>
      </c>
      <c r="L30" s="56" t="s">
        <v>96</v>
      </c>
      <c r="M30" s="55" t="str">
        <f>M7</f>
        <v>随机骰子</v>
      </c>
      <c r="N30" s="56" t="s">
        <v>96</v>
      </c>
      <c r="O30" s="55" t="str">
        <f>O7</f>
        <v>随机骰子</v>
      </c>
      <c r="P30" s="56" t="s">
        <v>96</v>
      </c>
    </row>
    <row r="31" spans="2:19" ht="16.2" customHeight="1" thickTop="1">
      <c r="B31" s="59" t="str">
        <f>抽奖道具 &amp; "礼包Ⅰ"</f>
        <v>随机骰子礼包Ⅰ</v>
      </c>
      <c r="C31" s="39">
        <f>抽奖道具礼包1</f>
        <v>30</v>
      </c>
      <c r="D31" s="24">
        <v>0</v>
      </c>
      <c r="E31" s="39">
        <f>抽奖道具礼包1</f>
        <v>30</v>
      </c>
      <c r="F31" s="24">
        <v>0</v>
      </c>
      <c r="G31" s="39">
        <f>抽奖道具礼包1</f>
        <v>30</v>
      </c>
      <c r="H31" s="24">
        <v>0</v>
      </c>
      <c r="I31" s="39">
        <f>抽奖道具礼包1</f>
        <v>30</v>
      </c>
      <c r="J31" s="24">
        <v>1</v>
      </c>
      <c r="K31" s="39">
        <f>抽奖道具礼包1</f>
        <v>30</v>
      </c>
      <c r="L31" s="24">
        <v>1</v>
      </c>
      <c r="M31" s="39">
        <f>抽奖道具礼包1</f>
        <v>30</v>
      </c>
      <c r="N31" s="24">
        <v>1</v>
      </c>
      <c r="O31" s="39">
        <f>抽奖道具礼包1</f>
        <v>30</v>
      </c>
      <c r="P31" s="24">
        <v>1</v>
      </c>
      <c r="R31" s="126" t="s">
        <v>183</v>
      </c>
    </row>
    <row r="32" spans="2:19">
      <c r="B32" s="99" t="str">
        <f>抽奖道具 &amp; "礼包Ⅱ"</f>
        <v>随机骰子礼包Ⅱ</v>
      </c>
      <c r="C32" s="39">
        <f>抽奖道具礼包2</f>
        <v>45</v>
      </c>
      <c r="D32" s="24">
        <v>0</v>
      </c>
      <c r="E32" s="39">
        <f>抽奖道具礼包2</f>
        <v>45</v>
      </c>
      <c r="F32" s="24">
        <v>0</v>
      </c>
      <c r="G32" s="39">
        <f>抽奖道具礼包2</f>
        <v>45</v>
      </c>
      <c r="H32" s="24">
        <v>0</v>
      </c>
      <c r="I32" s="39">
        <f>抽奖道具礼包2</f>
        <v>45</v>
      </c>
      <c r="J32" s="24">
        <v>1</v>
      </c>
      <c r="K32" s="39">
        <f>抽奖道具礼包2</f>
        <v>45</v>
      </c>
      <c r="L32" s="24">
        <v>1</v>
      </c>
      <c r="M32" s="39">
        <f>抽奖道具礼包2</f>
        <v>45</v>
      </c>
      <c r="N32" s="24">
        <v>1</v>
      </c>
      <c r="O32" s="39">
        <f>抽奖道具礼包2</f>
        <v>45</v>
      </c>
      <c r="P32" s="24">
        <v>1</v>
      </c>
      <c r="R32" s="127"/>
    </row>
    <row r="33" spans="2:18">
      <c r="B33" s="99" t="str">
        <f>抽奖道具 &amp; "礼包Ⅲ"</f>
        <v>随机骰子礼包Ⅲ</v>
      </c>
      <c r="C33" s="39">
        <f>抽奖道具礼包3</f>
        <v>90</v>
      </c>
      <c r="D33" s="24">
        <v>0</v>
      </c>
      <c r="E33" s="39">
        <f>抽奖道具礼包3</f>
        <v>90</v>
      </c>
      <c r="F33" s="24">
        <v>0</v>
      </c>
      <c r="G33" s="39">
        <f>抽奖道具礼包3</f>
        <v>90</v>
      </c>
      <c r="H33" s="24">
        <v>0</v>
      </c>
      <c r="I33" s="39">
        <f>抽奖道具礼包3</f>
        <v>90</v>
      </c>
      <c r="J33" s="24">
        <v>0</v>
      </c>
      <c r="K33" s="39">
        <f>抽奖道具礼包3</f>
        <v>90</v>
      </c>
      <c r="L33" s="24">
        <v>1</v>
      </c>
      <c r="M33" s="39">
        <f>抽奖道具礼包3</f>
        <v>90</v>
      </c>
      <c r="N33" s="24">
        <v>1</v>
      </c>
      <c r="O33" s="39">
        <f>抽奖道具礼包3</f>
        <v>90</v>
      </c>
      <c r="P33" s="24">
        <v>1</v>
      </c>
      <c r="R33" s="127"/>
    </row>
    <row r="34" spans="2:18">
      <c r="B34" s="99" t="str">
        <f>抽奖道具 &amp; "礼包Ⅳ"</f>
        <v>随机骰子礼包Ⅳ</v>
      </c>
      <c r="C34" s="39">
        <f>抽奖道具礼包4</f>
        <v>150</v>
      </c>
      <c r="D34" s="24">
        <v>0</v>
      </c>
      <c r="E34" s="39">
        <f>抽奖道具礼包4</f>
        <v>150</v>
      </c>
      <c r="F34" s="24">
        <v>0</v>
      </c>
      <c r="G34" s="39">
        <f>抽奖道具礼包4</f>
        <v>150</v>
      </c>
      <c r="H34" s="24">
        <v>0</v>
      </c>
      <c r="I34" s="39">
        <f>抽奖道具礼包4</f>
        <v>150</v>
      </c>
      <c r="J34" s="24">
        <v>0</v>
      </c>
      <c r="K34" s="39">
        <f>抽奖道具礼包4</f>
        <v>150</v>
      </c>
      <c r="L34" s="24">
        <v>0</v>
      </c>
      <c r="M34" s="39">
        <f>抽奖道具礼包4</f>
        <v>150</v>
      </c>
      <c r="N34" s="24">
        <v>1</v>
      </c>
      <c r="O34" s="39">
        <f>抽奖道具礼包4</f>
        <v>150</v>
      </c>
      <c r="P34" s="24">
        <v>1</v>
      </c>
      <c r="R34" s="127"/>
    </row>
    <row r="35" spans="2:18">
      <c r="B35" s="99" t="str">
        <f>抽奖道具 &amp; "礼包Ⅴ"</f>
        <v>随机骰子礼包Ⅴ</v>
      </c>
      <c r="C35" s="39">
        <f>抽奖道具礼包5</f>
        <v>270</v>
      </c>
      <c r="D35" s="24">
        <v>0</v>
      </c>
      <c r="E35" s="39">
        <f>抽奖道具礼包5</f>
        <v>270</v>
      </c>
      <c r="F35" s="24">
        <v>0</v>
      </c>
      <c r="G35" s="39">
        <f>抽奖道具礼包5</f>
        <v>270</v>
      </c>
      <c r="H35" s="24">
        <v>0</v>
      </c>
      <c r="I35" s="39">
        <f>抽奖道具礼包5</f>
        <v>270</v>
      </c>
      <c r="J35" s="24">
        <v>0</v>
      </c>
      <c r="K35" s="39">
        <f>抽奖道具礼包5</f>
        <v>270</v>
      </c>
      <c r="L35" s="24">
        <v>0</v>
      </c>
      <c r="M35" s="39">
        <f>抽奖道具礼包5</f>
        <v>270</v>
      </c>
      <c r="N35" s="24">
        <v>0</v>
      </c>
      <c r="O35" s="39">
        <f>抽奖道具礼包5</f>
        <v>270</v>
      </c>
      <c r="P35" s="24">
        <v>0</v>
      </c>
      <c r="R35" s="127"/>
    </row>
    <row r="36" spans="2:18">
      <c r="B36" s="99" t="str">
        <f>抽奖道具 &amp; "礼包Ⅵ"</f>
        <v>随机骰子礼包Ⅵ</v>
      </c>
      <c r="C36" s="39">
        <f>抽奖道具礼包6</f>
        <v>0</v>
      </c>
      <c r="D36" s="24">
        <v>0</v>
      </c>
      <c r="E36" s="39">
        <f>抽奖道具礼包6</f>
        <v>0</v>
      </c>
      <c r="F36" s="24">
        <v>0</v>
      </c>
      <c r="G36" s="39">
        <f>抽奖道具礼包6</f>
        <v>0</v>
      </c>
      <c r="H36" s="24">
        <v>0</v>
      </c>
      <c r="I36" s="39">
        <f>抽奖道具礼包6</f>
        <v>0</v>
      </c>
      <c r="J36" s="24">
        <v>0</v>
      </c>
      <c r="K36" s="39">
        <f>抽奖道具礼包6</f>
        <v>0</v>
      </c>
      <c r="L36" s="24">
        <v>0</v>
      </c>
      <c r="M36" s="39">
        <f>抽奖道具礼包6</f>
        <v>0</v>
      </c>
      <c r="N36" s="24">
        <v>0</v>
      </c>
      <c r="O36" s="39">
        <f>抽奖道具礼包6</f>
        <v>0</v>
      </c>
      <c r="P36" s="24">
        <v>0</v>
      </c>
      <c r="R36" s="127"/>
    </row>
    <row r="37" spans="2:18" ht="16.2" thickBot="1">
      <c r="B37" s="100" t="str">
        <f>抽奖道具 &amp; "礼包Ⅶ"</f>
        <v>随机骰子礼包Ⅶ</v>
      </c>
      <c r="C37" s="57">
        <f>抽奖道具礼包7</f>
        <v>0</v>
      </c>
      <c r="D37" s="12">
        <v>0</v>
      </c>
      <c r="E37" s="57">
        <f>抽奖道具礼包7</f>
        <v>0</v>
      </c>
      <c r="F37" s="12">
        <v>0</v>
      </c>
      <c r="G37" s="57">
        <f>抽奖道具礼包7</f>
        <v>0</v>
      </c>
      <c r="H37" s="12">
        <v>0</v>
      </c>
      <c r="I37" s="57">
        <f>抽奖道具礼包7</f>
        <v>0</v>
      </c>
      <c r="J37" s="12">
        <v>0</v>
      </c>
      <c r="K37" s="57">
        <f>抽奖道具礼包7</f>
        <v>0</v>
      </c>
      <c r="L37" s="12">
        <v>0</v>
      </c>
      <c r="M37" s="57">
        <f>抽奖道具礼包7</f>
        <v>0</v>
      </c>
      <c r="N37" s="12">
        <v>0</v>
      </c>
      <c r="O37" s="57">
        <f>抽奖道具礼包7</f>
        <v>0</v>
      </c>
      <c r="P37" s="12">
        <v>0</v>
      </c>
      <c r="R37" s="127"/>
    </row>
    <row r="38" spans="2:18" ht="16.8" thickTop="1" thickBot="1">
      <c r="B38" s="39" t="s">
        <v>97</v>
      </c>
      <c r="C38" s="55" t="str">
        <f>高级兑换道具</f>
        <v>月华糕</v>
      </c>
      <c r="D38" s="56" t="s">
        <v>96</v>
      </c>
      <c r="E38" s="55" t="str">
        <f>高级兑换道具</f>
        <v>月华糕</v>
      </c>
      <c r="F38" s="56" t="s">
        <v>96</v>
      </c>
      <c r="G38" s="55" t="str">
        <f>高级兑换道具</f>
        <v>月华糕</v>
      </c>
      <c r="H38" s="56" t="s">
        <v>96</v>
      </c>
      <c r="I38" s="55" t="str">
        <f>高级兑换道具</f>
        <v>月华糕</v>
      </c>
      <c r="J38" s="56" t="s">
        <v>96</v>
      </c>
      <c r="K38" s="55" t="str">
        <f>高级兑换道具</f>
        <v>月华糕</v>
      </c>
      <c r="L38" s="56" t="s">
        <v>96</v>
      </c>
      <c r="M38" s="55" t="str">
        <f>高级兑换道具</f>
        <v>月华糕</v>
      </c>
      <c r="N38" s="56" t="s">
        <v>96</v>
      </c>
      <c r="O38" s="55" t="str">
        <f>高级兑换道具</f>
        <v>月华糕</v>
      </c>
      <c r="P38" s="56" t="s">
        <v>96</v>
      </c>
      <c r="R38" s="127"/>
    </row>
    <row r="39" spans="2:18" ht="16.2" customHeight="1" thickTop="1">
      <c r="B39" s="91" t="str">
        <f>高级兑换道具 &amp; "礼包Ⅰ"</f>
        <v>月华糕礼包Ⅰ</v>
      </c>
      <c r="C39" s="18">
        <f>高级兑换道具礼包1</f>
        <v>2</v>
      </c>
      <c r="D39" s="32">
        <v>0</v>
      </c>
      <c r="E39" s="18">
        <f>高级兑换道具礼包1</f>
        <v>2</v>
      </c>
      <c r="F39" s="32">
        <v>0</v>
      </c>
      <c r="G39" s="18">
        <f>高级兑换道具礼包1</f>
        <v>2</v>
      </c>
      <c r="H39" s="32">
        <v>0</v>
      </c>
      <c r="I39" s="18">
        <f>高级兑换道具礼包1</f>
        <v>2</v>
      </c>
      <c r="J39" s="32">
        <v>0</v>
      </c>
      <c r="K39" s="18">
        <f>高级兑换道具礼包1</f>
        <v>2</v>
      </c>
      <c r="L39" s="32">
        <v>0</v>
      </c>
      <c r="M39" s="18">
        <f>高级兑换道具礼包1</f>
        <v>2</v>
      </c>
      <c r="N39" s="32">
        <v>0</v>
      </c>
      <c r="O39" s="18">
        <f>高级兑换道具礼包1</f>
        <v>2</v>
      </c>
      <c r="P39" s="32">
        <v>0</v>
      </c>
      <c r="R39" s="127"/>
    </row>
    <row r="40" spans="2:18">
      <c r="B40" s="92" t="str">
        <f>高级兑换道具 &amp; "礼包Ⅱ"</f>
        <v>月华糕礼包Ⅱ</v>
      </c>
      <c r="C40" s="39">
        <f>高级兑换道具礼包2</f>
        <v>4</v>
      </c>
      <c r="D40" s="4">
        <v>0</v>
      </c>
      <c r="E40" s="39">
        <f>高级兑换道具礼包2</f>
        <v>4</v>
      </c>
      <c r="F40" s="4">
        <v>0</v>
      </c>
      <c r="G40" s="39">
        <f>高级兑换道具礼包2</f>
        <v>4</v>
      </c>
      <c r="H40" s="4">
        <v>0</v>
      </c>
      <c r="I40" s="39">
        <f>高级兑换道具礼包2</f>
        <v>4</v>
      </c>
      <c r="J40" s="4">
        <v>0</v>
      </c>
      <c r="K40" s="39">
        <f>高级兑换道具礼包2</f>
        <v>4</v>
      </c>
      <c r="L40" s="4">
        <v>0</v>
      </c>
      <c r="M40" s="39">
        <f>高级兑换道具礼包2</f>
        <v>4</v>
      </c>
      <c r="N40" s="4">
        <v>0</v>
      </c>
      <c r="O40" s="39">
        <f>高级兑换道具礼包2</f>
        <v>4</v>
      </c>
      <c r="P40" s="4">
        <v>2</v>
      </c>
      <c r="R40" s="127"/>
    </row>
    <row r="41" spans="2:18">
      <c r="B41" s="92" t="str">
        <f>高级兑换道具 &amp; "礼包Ⅲ"</f>
        <v>月华糕礼包Ⅲ</v>
      </c>
      <c r="C41" s="39">
        <f>高级兑换道具礼包3</f>
        <v>10</v>
      </c>
      <c r="D41" s="4">
        <v>0</v>
      </c>
      <c r="E41" s="39">
        <f>高级兑换道具礼包3</f>
        <v>10</v>
      </c>
      <c r="F41" s="4">
        <v>0</v>
      </c>
      <c r="G41" s="39">
        <f>高级兑换道具礼包3</f>
        <v>10</v>
      </c>
      <c r="H41" s="4">
        <v>0</v>
      </c>
      <c r="I41" s="39">
        <f>高级兑换道具礼包3</f>
        <v>10</v>
      </c>
      <c r="J41" s="4">
        <v>0</v>
      </c>
      <c r="K41" s="39">
        <f>高级兑换道具礼包3</f>
        <v>10</v>
      </c>
      <c r="L41" s="4">
        <v>0</v>
      </c>
      <c r="M41" s="39">
        <f>高级兑换道具礼包3</f>
        <v>10</v>
      </c>
      <c r="N41" s="4">
        <v>0</v>
      </c>
      <c r="O41" s="39">
        <f>高级兑换道具礼包3</f>
        <v>10</v>
      </c>
      <c r="P41" s="4">
        <v>0</v>
      </c>
      <c r="R41" s="127"/>
    </row>
    <row r="42" spans="2:18" ht="16.2" thickBot="1">
      <c r="B42" s="93" t="str">
        <f>高级兑换道具 &amp; "礼包Ⅳ"</f>
        <v>月华糕礼包Ⅳ</v>
      </c>
      <c r="C42" s="57">
        <f>高级兑换道具礼包4</f>
        <v>20</v>
      </c>
      <c r="D42" s="12">
        <v>0</v>
      </c>
      <c r="E42" s="57">
        <f>高级兑换道具礼包4</f>
        <v>20</v>
      </c>
      <c r="F42" s="12">
        <v>0</v>
      </c>
      <c r="G42" s="57">
        <f>高级兑换道具礼包4</f>
        <v>20</v>
      </c>
      <c r="H42" s="12">
        <v>0</v>
      </c>
      <c r="I42" s="57">
        <f>高级兑换道具礼包4</f>
        <v>20</v>
      </c>
      <c r="J42" s="12">
        <v>0</v>
      </c>
      <c r="K42" s="57">
        <f>高级兑换道具礼包4</f>
        <v>20</v>
      </c>
      <c r="L42" s="12">
        <v>0</v>
      </c>
      <c r="M42" s="57">
        <f>高级兑换道具礼包4</f>
        <v>20</v>
      </c>
      <c r="N42" s="12">
        <v>0</v>
      </c>
      <c r="O42" s="57">
        <f>高级兑换道具礼包4</f>
        <v>20</v>
      </c>
      <c r="P42" s="12">
        <v>0</v>
      </c>
      <c r="R42" s="127"/>
    </row>
    <row r="43" spans="2:18" ht="16.8" thickTop="1" thickBot="1">
      <c r="B43" s="129" t="s">
        <v>149</v>
      </c>
      <c r="C43" s="57" t="s">
        <v>152</v>
      </c>
      <c r="D43" s="12">
        <v>0</v>
      </c>
      <c r="E43" s="57" t="s">
        <v>152</v>
      </c>
      <c r="F43" s="12">
        <v>0</v>
      </c>
      <c r="G43" s="57" t="s">
        <v>152</v>
      </c>
      <c r="H43" s="12">
        <v>0</v>
      </c>
      <c r="I43" s="57" t="s">
        <v>152</v>
      </c>
      <c r="J43" s="12">
        <v>0</v>
      </c>
      <c r="K43" s="57" t="s">
        <v>152</v>
      </c>
      <c r="L43" s="12">
        <v>0</v>
      </c>
      <c r="M43" s="57" t="s">
        <v>152</v>
      </c>
      <c r="N43" s="12">
        <v>0</v>
      </c>
      <c r="O43" s="57" t="s">
        <v>152</v>
      </c>
      <c r="P43" s="12">
        <v>1</v>
      </c>
      <c r="R43" s="127"/>
    </row>
    <row r="44" spans="2:18" ht="16.8" thickTop="1" thickBot="1">
      <c r="B44" s="130"/>
      <c r="C44" s="67" t="s">
        <v>151</v>
      </c>
      <c r="D44" s="68">
        <v>0</v>
      </c>
      <c r="E44" s="67" t="s">
        <v>151</v>
      </c>
      <c r="F44" s="68">
        <v>0</v>
      </c>
      <c r="G44" s="67" t="s">
        <v>151</v>
      </c>
      <c r="H44" s="68">
        <v>0</v>
      </c>
      <c r="I44" s="67" t="s">
        <v>151</v>
      </c>
      <c r="J44" s="68">
        <v>0</v>
      </c>
      <c r="K44" s="67" t="s">
        <v>151</v>
      </c>
      <c r="L44" s="68">
        <v>0</v>
      </c>
      <c r="M44" s="67" t="s">
        <v>151</v>
      </c>
      <c r="N44" s="68">
        <v>0</v>
      </c>
      <c r="O44" s="67" t="s">
        <v>151</v>
      </c>
      <c r="P44" s="68">
        <v>1</v>
      </c>
      <c r="R44" s="128"/>
    </row>
    <row r="45" spans="2:18" ht="23.4" customHeight="1" thickTop="1" thickBot="1">
      <c r="B45" s="96" t="s">
        <v>155</v>
      </c>
      <c r="C45" s="131"/>
      <c r="D45" s="132"/>
      <c r="E45" s="133"/>
      <c r="F45" s="132"/>
      <c r="G45" s="133"/>
      <c r="H45" s="132"/>
      <c r="I45" s="133" t="s">
        <v>193</v>
      </c>
      <c r="J45" s="132"/>
      <c r="K45" s="133" t="s">
        <v>193</v>
      </c>
      <c r="L45" s="132"/>
      <c r="M45" s="133" t="s">
        <v>193</v>
      </c>
      <c r="N45" s="132"/>
      <c r="O45" s="133" t="s">
        <v>161</v>
      </c>
      <c r="P45" s="132"/>
      <c r="R45" s="98" t="s">
        <v>180</v>
      </c>
    </row>
    <row r="46" spans="2:18" ht="30" customHeight="1" thickTop="1">
      <c r="B46" s="94" t="s">
        <v>156</v>
      </c>
      <c r="C46" s="137" t="s">
        <v>162</v>
      </c>
      <c r="D46" s="135"/>
      <c r="E46" s="137" t="s">
        <v>162</v>
      </c>
      <c r="F46" s="135"/>
      <c r="G46" s="137" t="s">
        <v>162</v>
      </c>
      <c r="H46" s="135"/>
      <c r="I46" s="137" t="s">
        <v>162</v>
      </c>
      <c r="J46" s="135"/>
      <c r="K46" s="137" t="s">
        <v>162</v>
      </c>
      <c r="L46" s="135"/>
      <c r="M46" s="124" t="s">
        <v>162</v>
      </c>
      <c r="N46" s="125"/>
      <c r="O46" s="124" t="s">
        <v>225</v>
      </c>
      <c r="P46" s="125"/>
      <c r="R46" s="126" t="s">
        <v>181</v>
      </c>
    </row>
    <row r="47" spans="2:18" ht="30" customHeight="1">
      <c r="B47" s="94" t="s">
        <v>157</v>
      </c>
      <c r="C47" s="136" t="s">
        <v>163</v>
      </c>
      <c r="D47" s="105"/>
      <c r="E47" s="136" t="s">
        <v>163</v>
      </c>
      <c r="F47" s="105"/>
      <c r="G47" s="136" t="s">
        <v>163</v>
      </c>
      <c r="H47" s="105"/>
      <c r="I47" s="136" t="s">
        <v>163</v>
      </c>
      <c r="J47" s="105"/>
      <c r="K47" s="136" t="s">
        <v>163</v>
      </c>
      <c r="L47" s="105"/>
      <c r="M47" s="104" t="s">
        <v>163</v>
      </c>
      <c r="N47" s="105"/>
      <c r="O47" s="134" t="s">
        <v>223</v>
      </c>
      <c r="P47" s="135"/>
      <c r="R47" s="127"/>
    </row>
    <row r="48" spans="2:18" ht="30" customHeight="1">
      <c r="B48" s="94" t="s">
        <v>158</v>
      </c>
      <c r="C48" s="137" t="s">
        <v>164</v>
      </c>
      <c r="D48" s="135"/>
      <c r="E48" s="137" t="s">
        <v>164</v>
      </c>
      <c r="F48" s="135"/>
      <c r="G48" s="137" t="s">
        <v>164</v>
      </c>
      <c r="H48" s="135"/>
      <c r="I48" s="137" t="s">
        <v>164</v>
      </c>
      <c r="J48" s="135"/>
      <c r="K48" s="137" t="s">
        <v>164</v>
      </c>
      <c r="L48" s="135"/>
      <c r="M48" s="134" t="s">
        <v>223</v>
      </c>
      <c r="N48" s="135"/>
      <c r="O48" s="134" t="s">
        <v>224</v>
      </c>
      <c r="P48" s="135"/>
      <c r="R48" s="127"/>
    </row>
    <row r="49" spans="2:19" ht="30" customHeight="1">
      <c r="B49" s="94" t="s">
        <v>159</v>
      </c>
      <c r="C49" s="137"/>
      <c r="D49" s="135"/>
      <c r="E49" s="137"/>
      <c r="F49" s="135"/>
      <c r="G49" s="137"/>
      <c r="H49" s="135"/>
      <c r="I49" s="137" t="s">
        <v>228</v>
      </c>
      <c r="J49" s="135"/>
      <c r="K49" s="137" t="s">
        <v>222</v>
      </c>
      <c r="L49" s="135"/>
      <c r="M49" s="134" t="s">
        <v>221</v>
      </c>
      <c r="N49" s="135"/>
      <c r="O49" s="104" t="s">
        <v>226</v>
      </c>
      <c r="P49" s="105"/>
      <c r="R49" s="127"/>
    </row>
    <row r="50" spans="2:19" ht="30" customHeight="1" thickBot="1">
      <c r="B50" s="97" t="s">
        <v>160</v>
      </c>
      <c r="C50" s="137"/>
      <c r="D50" s="135"/>
      <c r="E50" s="137"/>
      <c r="F50" s="135"/>
      <c r="G50" s="137"/>
      <c r="H50" s="135"/>
      <c r="I50" s="137"/>
      <c r="J50" s="135"/>
      <c r="K50" s="137"/>
      <c r="L50" s="135"/>
      <c r="M50" s="146"/>
      <c r="N50" s="147"/>
      <c r="O50" s="146" t="s">
        <v>227</v>
      </c>
      <c r="P50" s="147"/>
      <c r="Q50" s="23"/>
      <c r="R50" s="128"/>
      <c r="S50" s="23"/>
    </row>
    <row r="51" spans="2:19" ht="17.399999999999999" thickTop="1" thickBot="1">
      <c r="B51" s="139" t="s">
        <v>34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1"/>
      <c r="N51" s="141"/>
      <c r="O51" s="141"/>
      <c r="P51" s="142"/>
      <c r="R51" s="6"/>
      <c r="S51" s="6"/>
    </row>
    <row r="52" spans="2:19" ht="19.95" customHeight="1" thickTop="1" thickBot="1">
      <c r="B52" s="143" t="s">
        <v>230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5"/>
      <c r="R52" s="126" t="s">
        <v>182</v>
      </c>
      <c r="S52" s="6"/>
    </row>
    <row r="53" spans="2:19" ht="19.95" customHeight="1" thickTop="1" thickBot="1">
      <c r="B53" s="14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5"/>
      <c r="R53" s="127"/>
      <c r="S53" s="6"/>
    </row>
    <row r="54" spans="2:19" ht="19.95" customHeight="1" thickTop="1" thickBot="1">
      <c r="B54" s="14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5"/>
      <c r="R54" s="127"/>
      <c r="S54" s="6"/>
    </row>
    <row r="55" spans="2:19" ht="19.95" customHeight="1" thickTop="1" thickBot="1">
      <c r="B55" s="14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5"/>
      <c r="R55" s="128"/>
    </row>
    <row r="56" spans="2:19" ht="16.2" thickTop="1">
      <c r="F56" s="6"/>
      <c r="G56" s="6"/>
      <c r="H56" s="6"/>
      <c r="K56" s="6"/>
      <c r="M56" s="6"/>
      <c r="N56" s="6"/>
      <c r="O56" s="6"/>
      <c r="P56" s="6"/>
    </row>
    <row r="57" spans="2:19">
      <c r="B57" s="95"/>
      <c r="C57" s="95"/>
      <c r="D57" s="95"/>
      <c r="K57" s="138"/>
      <c r="L57" s="138"/>
      <c r="M57" s="138"/>
      <c r="N57" s="138"/>
    </row>
    <row r="58" spans="2:19">
      <c r="K58" s="6"/>
      <c r="M58" s="6"/>
      <c r="N58" s="6"/>
      <c r="P58" s="23"/>
    </row>
    <row r="59" spans="2:19">
      <c r="K59" s="6"/>
      <c r="M59" s="6"/>
      <c r="N59" s="6"/>
      <c r="P59" s="23"/>
    </row>
    <row r="60" spans="2:19">
      <c r="K60" s="6"/>
      <c r="M60" s="6"/>
      <c r="N60" s="6"/>
      <c r="P60" s="23"/>
    </row>
    <row r="61" spans="2:19">
      <c r="B61" s="95"/>
      <c r="C61" s="95"/>
      <c r="D61" s="95"/>
      <c r="K61" s="6"/>
      <c r="M61" s="6"/>
      <c r="N61" s="6"/>
      <c r="P61" s="23"/>
    </row>
    <row r="62" spans="2:19">
      <c r="K62" s="6"/>
      <c r="M62" s="6"/>
      <c r="N62" s="6"/>
      <c r="P62" s="23"/>
    </row>
    <row r="63" spans="2:19">
      <c r="K63" s="6"/>
      <c r="M63" s="6"/>
      <c r="N63" s="6"/>
      <c r="P63" s="23"/>
    </row>
    <row r="64" spans="2:19">
      <c r="K64" s="6"/>
      <c r="M64" s="6"/>
      <c r="N64" s="6"/>
      <c r="P64" s="23"/>
    </row>
    <row r="65" spans="11:16">
      <c r="K65" s="6"/>
      <c r="M65" s="6"/>
      <c r="N65" s="6"/>
      <c r="P65" s="23"/>
    </row>
    <row r="66" spans="11:16">
      <c r="P66" s="23"/>
    </row>
    <row r="67" spans="11:16">
      <c r="P67" s="23"/>
    </row>
    <row r="68" spans="11:16">
      <c r="P68" s="23"/>
    </row>
    <row r="69" spans="11:16">
      <c r="P69" s="23"/>
    </row>
    <row r="70" spans="11:16">
      <c r="P70" s="23"/>
    </row>
    <row r="71" spans="11:16">
      <c r="P71" s="23"/>
    </row>
    <row r="72" spans="11:16">
      <c r="P72" s="23"/>
    </row>
    <row r="73" spans="11:16">
      <c r="P73" s="23"/>
    </row>
    <row r="74" spans="11:16">
      <c r="P74" s="23"/>
    </row>
    <row r="75" spans="11:16">
      <c r="P75" s="23"/>
    </row>
    <row r="76" spans="11:16">
      <c r="P76" s="23"/>
    </row>
    <row r="77" spans="11:16">
      <c r="P77" s="23"/>
    </row>
    <row r="78" spans="11:16">
      <c r="P78" s="23"/>
    </row>
    <row r="79" spans="11:16">
      <c r="P79" s="23"/>
    </row>
    <row r="80" spans="11:16">
      <c r="P80" s="23"/>
    </row>
    <row r="81" spans="16:16">
      <c r="P81" s="23"/>
    </row>
  </sheetData>
  <mergeCells count="66">
    <mergeCell ref="O48:P48"/>
    <mergeCell ref="C50:D50"/>
    <mergeCell ref="E50:F50"/>
    <mergeCell ref="G50:H50"/>
    <mergeCell ref="I50:J50"/>
    <mergeCell ref="K50:L50"/>
    <mergeCell ref="M50:N50"/>
    <mergeCell ref="O50:P50"/>
    <mergeCell ref="K57:N57"/>
    <mergeCell ref="M49:N49"/>
    <mergeCell ref="B51:P51"/>
    <mergeCell ref="B52:P52"/>
    <mergeCell ref="R52:R55"/>
    <mergeCell ref="B53:P53"/>
    <mergeCell ref="B54:P54"/>
    <mergeCell ref="B55:P55"/>
    <mergeCell ref="E48:F48"/>
    <mergeCell ref="G48:H48"/>
    <mergeCell ref="I48:J48"/>
    <mergeCell ref="K48:L48"/>
    <mergeCell ref="C49:D49"/>
    <mergeCell ref="E49:F49"/>
    <mergeCell ref="G49:H49"/>
    <mergeCell ref="I49:J49"/>
    <mergeCell ref="K49:L49"/>
    <mergeCell ref="O47:P47"/>
    <mergeCell ref="O46:P46"/>
    <mergeCell ref="R46:R50"/>
    <mergeCell ref="C47:D47"/>
    <mergeCell ref="E47:F47"/>
    <mergeCell ref="G47:H47"/>
    <mergeCell ref="I47:J47"/>
    <mergeCell ref="K47:L47"/>
    <mergeCell ref="M47:N47"/>
    <mergeCell ref="C48:D48"/>
    <mergeCell ref="C46:D46"/>
    <mergeCell ref="E46:F46"/>
    <mergeCell ref="G46:H46"/>
    <mergeCell ref="I46:J46"/>
    <mergeCell ref="K46:L46"/>
    <mergeCell ref="M48:N48"/>
    <mergeCell ref="R31:R44"/>
    <mergeCell ref="B43:B44"/>
    <mergeCell ref="C45:D45"/>
    <mergeCell ref="E45:F45"/>
    <mergeCell ref="G45:H45"/>
    <mergeCell ref="I45:J45"/>
    <mergeCell ref="K45:L45"/>
    <mergeCell ref="M45:N45"/>
    <mergeCell ref="O45:P45"/>
    <mergeCell ref="O49:P49"/>
    <mergeCell ref="B2:P2"/>
    <mergeCell ref="B3:B4"/>
    <mergeCell ref="C3:H3"/>
    <mergeCell ref="I3:L3"/>
    <mergeCell ref="M3:P3"/>
    <mergeCell ref="C4:P4"/>
    <mergeCell ref="C5:P5"/>
    <mergeCell ref="C6:D6"/>
    <mergeCell ref="E6:F6"/>
    <mergeCell ref="G6:H6"/>
    <mergeCell ref="I6:J6"/>
    <mergeCell ref="K6:L6"/>
    <mergeCell ref="M6:N6"/>
    <mergeCell ref="O6:P6"/>
    <mergeCell ref="M46:N46"/>
  </mergeCells>
  <phoneticPr fontId="7" type="noConversion"/>
  <conditionalFormatting sqref="B10:P10">
    <cfRule type="cellIs" dxfId="11" priority="9" operator="greaterThan">
      <formula>0</formula>
    </cfRule>
  </conditionalFormatting>
  <conditionalFormatting sqref="B13:P13">
    <cfRule type="cellIs" dxfId="10" priority="3" operator="greaterThan">
      <formula>0</formula>
    </cfRule>
  </conditionalFormatting>
  <conditionalFormatting sqref="B14:P14">
    <cfRule type="cellIs" dxfId="9" priority="6" operator="greaterThan">
      <formula>0</formula>
    </cfRule>
  </conditionalFormatting>
  <conditionalFormatting sqref="C11:P11">
    <cfRule type="cellIs" dxfId="8" priority="7" operator="greaterThan">
      <formula>0</formula>
    </cfRule>
  </conditionalFormatting>
  <conditionalFormatting sqref="C15:P15 D31:D37 F31:F37 H31:H37 J31:J37 L31:L37 N31:N37 P31:P37">
    <cfRule type="cellIs" dxfId="7" priority="5" operator="greaterThan">
      <formula>0</formula>
    </cfRule>
  </conditionalFormatting>
  <conditionalFormatting sqref="C15:P16">
    <cfRule type="cellIs" dxfId="6" priority="8" operator="greaterThan">
      <formula>0</formula>
    </cfRule>
  </conditionalFormatting>
  <conditionalFormatting sqref="C17:P17">
    <cfRule type="cellIs" dxfId="5" priority="12" operator="greaterThan">
      <formula>0</formula>
    </cfRule>
  </conditionalFormatting>
  <conditionalFormatting sqref="C19:P19">
    <cfRule type="cellIs" dxfId="4" priority="10" operator="greaterThan">
      <formula>0</formula>
    </cfRule>
  </conditionalFormatting>
  <conditionalFormatting sqref="C21:P21">
    <cfRule type="cellIs" dxfId="3" priority="11" operator="greaterThan">
      <formula>0</formula>
    </cfRule>
  </conditionalFormatting>
  <conditionalFormatting sqref="C22:P22 D39:D42 F39:F42 H39:H42 J39:J42 L39:L42 N39:N42 P39:P42">
    <cfRule type="cellIs" dxfId="2" priority="4" operator="greaterThan">
      <formula>0</formula>
    </cfRule>
  </conditionalFormatting>
  <conditionalFormatting sqref="D43 F43 H43 J43 L43 N43 P43">
    <cfRule type="cellIs" dxfId="1" priority="1" operator="greaterThan">
      <formula>0</formula>
    </cfRule>
  </conditionalFormatting>
  <conditionalFormatting sqref="D44 F44 H44 J44 L44 N44 P44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74</vt:i4>
      </vt:variant>
    </vt:vector>
  </HeadingPairs>
  <TitlesOfParts>
    <vt:vector size="83" baseType="lpstr">
      <vt:lpstr>兑换列表</vt:lpstr>
      <vt:lpstr>基础计算设置</vt:lpstr>
      <vt:lpstr>420桂香糕</vt:lpstr>
      <vt:lpstr>550桂香糕</vt:lpstr>
      <vt:lpstr>4.9w钻</vt:lpstr>
      <vt:lpstr>1秘宝</vt:lpstr>
      <vt:lpstr>1秘宝+1藏品</vt:lpstr>
      <vt:lpstr>2秘宝</vt:lpstr>
      <vt:lpstr>2秘宝+1藏品</vt:lpstr>
      <vt:lpstr>兑换列表!抽奖道具</vt:lpstr>
      <vt:lpstr>抽奖道具</vt:lpstr>
      <vt:lpstr>抽奖道具礼包1</vt:lpstr>
      <vt:lpstr>抽奖道具礼包2</vt:lpstr>
      <vt:lpstr>抽奖道具礼包3</vt:lpstr>
      <vt:lpstr>抽奖道具礼包4</vt:lpstr>
      <vt:lpstr>抽奖道具礼包5</vt:lpstr>
      <vt:lpstr>抽奖道具礼包6</vt:lpstr>
      <vt:lpstr>抽奖道具礼包7</vt:lpstr>
      <vt:lpstr>抽奖道具礼包道具数</vt:lpstr>
      <vt:lpstr>抽奖道具礼包翡翠</vt:lpstr>
      <vt:lpstr>抽奖道具礼包价格</vt:lpstr>
      <vt:lpstr>兑换列表!档位积分1</vt:lpstr>
      <vt:lpstr>档位积分1</vt:lpstr>
      <vt:lpstr>档位积分2</vt:lpstr>
      <vt:lpstr>档位积分3</vt:lpstr>
      <vt:lpstr>档位积分4</vt:lpstr>
      <vt:lpstr>兑换列表!档位积分5</vt:lpstr>
      <vt:lpstr>档位积分5</vt:lpstr>
      <vt:lpstr>兑换列表!档位奖励1</vt:lpstr>
      <vt:lpstr>档位奖励1</vt:lpstr>
      <vt:lpstr>档位奖励2</vt:lpstr>
      <vt:lpstr>档位奖励3</vt:lpstr>
      <vt:lpstr>档位奖励4</vt:lpstr>
      <vt:lpstr>兑换列表!档位奖励5</vt:lpstr>
      <vt:lpstr>档位奖励5</vt:lpstr>
      <vt:lpstr>兑换列表!第1档</vt:lpstr>
      <vt:lpstr>第1档</vt:lpstr>
      <vt:lpstr>兑换列表!第5档</vt:lpstr>
      <vt:lpstr>第5档</vt:lpstr>
      <vt:lpstr>兑换列表!翡翠100</vt:lpstr>
      <vt:lpstr>翡翠100</vt:lpstr>
      <vt:lpstr>兑换列表!翡翠10000</vt:lpstr>
      <vt:lpstr>翡翠10000</vt:lpstr>
      <vt:lpstr>兑换列表!高级兑换道具</vt:lpstr>
      <vt:lpstr>高级兑换道具</vt:lpstr>
      <vt:lpstr>兑换列表!高级兑换道具抽奖期望</vt:lpstr>
      <vt:lpstr>高级兑换道具抽奖期望</vt:lpstr>
      <vt:lpstr>高级兑换道具礼包1</vt:lpstr>
      <vt:lpstr>高级兑换道具礼包2</vt:lpstr>
      <vt:lpstr>高级兑换道具礼包3</vt:lpstr>
      <vt:lpstr>高级兑换道具礼包4</vt:lpstr>
      <vt:lpstr>高级兑换道具礼包道具数</vt:lpstr>
      <vt:lpstr>高级兑换道具礼包翡翠</vt:lpstr>
      <vt:lpstr>高级兑换道具礼包价格</vt:lpstr>
      <vt:lpstr>兑换列表!积分规则1</vt:lpstr>
      <vt:lpstr>积分规则1</vt:lpstr>
      <vt:lpstr>兑换列表!积分规则2</vt:lpstr>
      <vt:lpstr>积分规则2</vt:lpstr>
      <vt:lpstr>兑换列表!积分规则3</vt:lpstr>
      <vt:lpstr>积分规则3</vt:lpstr>
      <vt:lpstr>兑换列表!价格6</vt:lpstr>
      <vt:lpstr>价格6</vt:lpstr>
      <vt:lpstr>兑换列表!价格648</vt:lpstr>
      <vt:lpstr>价格648</vt:lpstr>
      <vt:lpstr>氪金基金抽奖道具</vt:lpstr>
      <vt:lpstr>氪金基金翡翠</vt:lpstr>
      <vt:lpstr>氪金基金价格</vt:lpstr>
      <vt:lpstr>氪金基金随机箱</vt:lpstr>
      <vt:lpstr>每日广告抽奖道具数量</vt:lpstr>
      <vt:lpstr>每日任务抽奖道具数量</vt:lpstr>
      <vt:lpstr>免费基金抽奖道具</vt:lpstr>
      <vt:lpstr>免费基金随机箱</vt:lpstr>
      <vt:lpstr>兑换列表!普通兑换道具</vt:lpstr>
      <vt:lpstr>普通兑换道具</vt:lpstr>
      <vt:lpstr>兑换列表!普通兑换道具抽奖期望</vt:lpstr>
      <vt:lpstr>普通兑换道具抽奖期望</vt:lpstr>
      <vt:lpstr>兑换列表!随机箱高级道具期望</vt:lpstr>
      <vt:lpstr>随机箱高级道具期望</vt:lpstr>
      <vt:lpstr>兑换列表!随机箱积分</vt:lpstr>
      <vt:lpstr>随机箱积分</vt:lpstr>
      <vt:lpstr>兑换列表!钻石购买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2026-10-04T00:33:08Z</dcterms:modified>
</cp:coreProperties>
</file>