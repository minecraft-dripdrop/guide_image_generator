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卡皮模拟\攻略图生成器\excel\"/>
    </mc:Choice>
  </mc:AlternateContent>
  <xr:revisionPtr revIDLastSave="0" documentId="13_ncr:1_{09874D0D-88C9-433F-A3D6-CA190A9B0FED}" xr6:coauthVersionLast="47" xr6:coauthVersionMax="47" xr10:uidLastSave="{00000000-0000-0000-0000-000000000000}"/>
  <bookViews>
    <workbookView xWindow="22932" yWindow="-108" windowWidth="23256" windowHeight="12456" firstSheet="2" activeTab="5" xr2:uid="{00000000-000D-0000-FFFF-FFFF00000000}"/>
  </bookViews>
  <sheets>
    <sheet name="氪金转盘" sheetId="13" r:id="rId1"/>
    <sheet name="兑换列表" sheetId="7" r:id="rId2"/>
    <sheet name="基础计算设置" sheetId="2" r:id="rId3"/>
    <sheet name="月兔寻宝10.5w" sheetId="3" r:id="rId4"/>
    <sheet name="月兔寻宝10.5w钻攻略图" sheetId="4" r:id="rId5"/>
    <sheet name="月兔寻宝4.5w" sheetId="9" r:id="rId6"/>
    <sheet name="月兔寻宝4.5w钻攻略图" sheetId="10" r:id="rId7"/>
    <sheet name="月兔寻宝13500翡翠氪金攻略" sheetId="11" r:id="rId8"/>
    <sheet name="月兔寻宝13500翡翠氪金攻略图" sheetId="12" r:id="rId9"/>
  </sheets>
  <externalReferences>
    <externalReference r:id="rId10"/>
  </externalReferences>
  <definedNames>
    <definedName name="抽奖道具" localSheetId="0">[1]基础计算设置!$B$1</definedName>
    <definedName name="抽奖道具">基础计算设置!$B$1</definedName>
    <definedName name="抽奖道具礼包1">基础计算设置!$P$2</definedName>
    <definedName name="抽奖道具礼包2">基础计算设置!$P$3</definedName>
    <definedName name="抽奖道具礼包3">基础计算设置!$P$4</definedName>
    <definedName name="抽奖道具礼包4">基础计算设置!$P$5</definedName>
    <definedName name="抽奖道具礼包5">基础计算设置!$P$6</definedName>
    <definedName name="抽奖道具礼包6">基础计算设置!$P$7</definedName>
    <definedName name="抽奖道具礼包7">基础计算设置!$P$8</definedName>
    <definedName name="抽奖道具礼包道具数">基础计算设置!$P$2:$P$8</definedName>
    <definedName name="抽奖道具礼包翡翠">基础计算设置!$N$2:$N$8</definedName>
    <definedName name="抽奖道具礼包价格">基础计算设置!$M$2:$M$8</definedName>
    <definedName name="档位积分1" localSheetId="0">[1]基础计算设置!$B$6</definedName>
    <definedName name="档位积分1">基础计算设置!$B$6</definedName>
    <definedName name="档位积分2">基础计算设置!$B$7</definedName>
    <definedName name="档位积分3">基础计算设置!$B$8</definedName>
    <definedName name="档位积分4">基础计算设置!$B$9</definedName>
    <definedName name="档位积分5" localSheetId="0">[1]基础计算设置!$B$10</definedName>
    <definedName name="档位积分5">基础计算设置!$B$10</definedName>
    <definedName name="档位奖励1" localSheetId="0">[1]基础计算设置!$C$6</definedName>
    <definedName name="档位奖励1">基础计算设置!$C$6</definedName>
    <definedName name="档位奖励2" localSheetId="0">[1]基础计算设置!$C$7</definedName>
    <definedName name="档位奖励2">基础计算设置!$C$7</definedName>
    <definedName name="档位奖励3" localSheetId="0">[1]基础计算设置!$C$8</definedName>
    <definedName name="档位奖励3">基础计算设置!$C$8</definedName>
    <definedName name="档位奖励4" localSheetId="0">[1]基础计算设置!$C$9</definedName>
    <definedName name="档位奖励4">基础计算设置!$C$9</definedName>
    <definedName name="档位奖励5" localSheetId="0">[1]基础计算设置!$C$10</definedName>
    <definedName name="档位奖励5">基础计算设置!$C$10</definedName>
    <definedName name="第1档" localSheetId="0">[1]基础计算设置!$A$6</definedName>
    <definedName name="第1档">基础计算设置!$A$6</definedName>
    <definedName name="第5档" localSheetId="0">[1]基础计算设置!$A$10</definedName>
    <definedName name="第5档">基础计算设置!$A$10</definedName>
    <definedName name="翡翠100" localSheetId="0">[1]基础计算设置!$B$29</definedName>
    <definedName name="翡翠100">基础计算设置!$B$29</definedName>
    <definedName name="翡翠10000" localSheetId="0">[1]基础计算设置!$B$36</definedName>
    <definedName name="翡翠10000">基础计算设置!$B$36</definedName>
    <definedName name="高级兑换道具" localSheetId="0">[1]基础计算设置!$B$3</definedName>
    <definedName name="高级兑换道具">基础计算设置!$B$3</definedName>
    <definedName name="高级兑换道具抽奖期望" localSheetId="0">[1]基础计算设置!$I$18</definedName>
    <definedName name="高级兑换道具抽奖期望">基础计算设置!$I$4</definedName>
    <definedName name="高级兑换道具礼包1">基础计算设置!$P$11</definedName>
    <definedName name="高级兑换道具礼包2">基础计算设置!$P$12</definedName>
    <definedName name="高级兑换道具礼包3">基础计算设置!$P$13</definedName>
    <definedName name="高级兑换道具礼包4">基础计算设置!$P$14</definedName>
    <definedName name="高级兑换道具礼包道具数">基础计算设置!$P$11:$P$14</definedName>
    <definedName name="高级兑换道具礼包翡翠">基础计算设置!$N$11:$N$14</definedName>
    <definedName name="高级兑换道具礼包价格">基础计算设置!$M$11:$M$14</definedName>
    <definedName name="积分规则1" localSheetId="0">[1]基础计算设置!$B$13</definedName>
    <definedName name="积分规则1">基础计算设置!$B$13</definedName>
    <definedName name="积分规则2" localSheetId="0">[1]基础计算设置!$B$14</definedName>
    <definedName name="积分规则2">基础计算设置!$B$14</definedName>
    <definedName name="积分规则3" localSheetId="0">[1]基础计算设置!$I$19</definedName>
    <definedName name="积分规则3">基础计算设置!$I$5</definedName>
    <definedName name="价格6" localSheetId="0">[1]基础计算设置!$A$29</definedName>
    <definedName name="价格6">基础计算设置!$A$29</definedName>
    <definedName name="价格648" localSheetId="0">[1]基础计算设置!$A$36</definedName>
    <definedName name="价格648">基础计算设置!$A$36</definedName>
    <definedName name="普通兑换道具" localSheetId="0">[1]基础计算设置!$B$2</definedName>
    <definedName name="普通兑换道具">基础计算设置!$B$2</definedName>
    <definedName name="普通兑换道具抽奖期望" localSheetId="0">[1]基础计算设置!$I$17</definedName>
    <definedName name="普通兑换道具抽奖期望">基础计算设置!$I$3</definedName>
    <definedName name="随机箱高级道具期望" localSheetId="0">[1]基础计算设置!$C$26</definedName>
    <definedName name="随机箱高级道具期望">基础计算设置!$C$26</definedName>
    <definedName name="随机箱积分" localSheetId="0">[1]基础计算设置!$D$26</definedName>
    <definedName name="随机箱积分">基础计算设置!$D$26</definedName>
    <definedName name="钻石购买" localSheetId="0">[1]基础计算设置!$B$18</definedName>
    <definedName name="钻石购买">基础计算设置!$B$18</definedName>
    <definedName name="钻石限购">基础计算设置!$B$19</definedName>
  </definedNames>
  <calcPr calcId="181029"/>
</workbook>
</file>

<file path=xl/calcChain.xml><?xml version="1.0" encoding="utf-8"?>
<calcChain xmlns="http://schemas.openxmlformats.org/spreadsheetml/2006/main">
  <c r="P23" i="3" l="1"/>
  <c r="P24" i="3" s="1"/>
  <c r="O23" i="3"/>
  <c r="O24" i="3" s="1"/>
  <c r="M24" i="3"/>
  <c r="N23" i="3"/>
  <c r="N24" i="3" s="1"/>
  <c r="M23" i="3"/>
  <c r="L23" i="3"/>
  <c r="L24" i="3" s="1"/>
  <c r="K23" i="3"/>
  <c r="K24" i="3" s="1"/>
  <c r="J23" i="3"/>
  <c r="J24" i="3" s="1"/>
  <c r="I23" i="3"/>
  <c r="I24" i="3" s="1"/>
  <c r="H24" i="3"/>
  <c r="H23" i="3"/>
  <c r="G23" i="3"/>
  <c r="G24" i="3" s="1"/>
  <c r="F23" i="3"/>
  <c r="F24" i="3" s="1"/>
  <c r="E23" i="3"/>
  <c r="E24" i="3" s="1"/>
  <c r="C24" i="3"/>
  <c r="C23" i="3"/>
  <c r="M2" i="3"/>
  <c r="I2" i="3"/>
  <c r="B38" i="3"/>
  <c r="B31" i="3"/>
  <c r="C20" i="3"/>
  <c r="D20" i="3" s="1"/>
  <c r="C13" i="3"/>
  <c r="O20" i="3"/>
  <c r="P20" i="3" s="1"/>
  <c r="P19" i="3"/>
  <c r="M20" i="3"/>
  <c r="N20" i="3" s="1"/>
  <c r="N19" i="3"/>
  <c r="K20" i="3"/>
  <c r="L20" i="3" s="1"/>
  <c r="L19" i="3"/>
  <c r="I20" i="3"/>
  <c r="J20" i="3" s="1"/>
  <c r="J19" i="3"/>
  <c r="G20" i="3"/>
  <c r="H20" i="3" s="1"/>
  <c r="H19" i="3"/>
  <c r="E20" i="3"/>
  <c r="F19" i="3"/>
  <c r="D19" i="3"/>
  <c r="O13" i="3"/>
  <c r="M13" i="3"/>
  <c r="K13" i="3"/>
  <c r="I13" i="3"/>
  <c r="G13" i="3"/>
  <c r="E13" i="3"/>
  <c r="B20" i="3"/>
  <c r="B19" i="3"/>
  <c r="C2" i="3"/>
  <c r="P10" i="2"/>
  <c r="L14" i="2"/>
  <c r="L13" i="2"/>
  <c r="L12" i="2"/>
  <c r="L11" i="2"/>
  <c r="L10" i="2"/>
  <c r="N14" i="2"/>
  <c r="Q14" i="2" s="1"/>
  <c r="N13" i="2"/>
  <c r="Q13" i="2" s="1"/>
  <c r="N12" i="2"/>
  <c r="Q12" i="2" s="1"/>
  <c r="N11" i="2"/>
  <c r="Q11" i="2" s="1"/>
  <c r="L1" i="2"/>
  <c r="Q5" i="2"/>
  <c r="Q7" i="2"/>
  <c r="Q8" i="2"/>
  <c r="N3" i="2"/>
  <c r="Q3" i="2" s="1"/>
  <c r="N4" i="2"/>
  <c r="Q4" i="2" s="1"/>
  <c r="N5" i="2"/>
  <c r="N6" i="2"/>
  <c r="Q6" i="2" s="1"/>
  <c r="N7" i="2"/>
  <c r="N8" i="2"/>
  <c r="N2" i="2"/>
  <c r="Q2" i="2" s="1"/>
  <c r="L8" i="2"/>
  <c r="L7" i="2"/>
  <c r="L6" i="2"/>
  <c r="L5" i="2"/>
  <c r="L4" i="2"/>
  <c r="L3" i="2"/>
  <c r="L2" i="2"/>
  <c r="P1" i="2"/>
  <c r="F23" i="13"/>
  <c r="F22" i="13"/>
  <c r="F21" i="13"/>
  <c r="F11" i="13"/>
  <c r="E14" i="13"/>
  <c r="F6" i="13"/>
  <c r="C29" i="3" l="1"/>
  <c r="E29" i="3" s="1"/>
  <c r="G29" i="3" s="1"/>
  <c r="I29" i="3" s="1"/>
  <c r="K29" i="3" s="1"/>
  <c r="M29" i="3" s="1"/>
  <c r="O29" i="3" s="1"/>
  <c r="F20" i="3"/>
  <c r="F5" i="13"/>
  <c r="F7" i="13"/>
  <c r="F8" i="13"/>
  <c r="B9" i="13"/>
  <c r="F9" i="13"/>
  <c r="B10" i="13"/>
  <c r="F10" i="13"/>
  <c r="C14" i="13"/>
  <c r="D14" i="13"/>
  <c r="B14" i="13" l="1"/>
  <c r="P31" i="11"/>
  <c r="E30" i="11"/>
  <c r="P18" i="11"/>
  <c r="D18" i="11"/>
  <c r="C26" i="11"/>
  <c r="I9" i="12" s="1"/>
  <c r="E15" i="12"/>
  <c r="E14" i="12"/>
  <c r="E13" i="12"/>
  <c r="E12" i="12"/>
  <c r="E11" i="12"/>
  <c r="E10" i="12"/>
  <c r="E9" i="12"/>
  <c r="I8" i="12"/>
  <c r="H8" i="12"/>
  <c r="G8" i="12"/>
  <c r="D8" i="12"/>
  <c r="G3" i="12"/>
  <c r="D3" i="12"/>
  <c r="I33" i="11"/>
  <c r="C33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P30" i="11"/>
  <c r="O30" i="11"/>
  <c r="N30" i="11"/>
  <c r="M30" i="11"/>
  <c r="L30" i="11"/>
  <c r="K30" i="11"/>
  <c r="J30" i="11"/>
  <c r="I30" i="11"/>
  <c r="H30" i="11"/>
  <c r="G30" i="11"/>
  <c r="F30" i="11"/>
  <c r="D30" i="11"/>
  <c r="C30" i="11"/>
  <c r="B26" i="11"/>
  <c r="C25" i="11"/>
  <c r="H9" i="12" s="1"/>
  <c r="B25" i="11"/>
  <c r="C23" i="11"/>
  <c r="E23" i="11" s="1"/>
  <c r="G23" i="11" s="1"/>
  <c r="I23" i="11" s="1"/>
  <c r="K23" i="11" s="1"/>
  <c r="M23" i="11" s="1"/>
  <c r="O23" i="11" s="1"/>
  <c r="C22" i="11"/>
  <c r="C14" i="11" s="1"/>
  <c r="B22" i="11"/>
  <c r="P17" i="11"/>
  <c r="N17" i="11"/>
  <c r="L17" i="11"/>
  <c r="J17" i="11"/>
  <c r="H17" i="11"/>
  <c r="F17" i="11"/>
  <c r="D17" i="11"/>
  <c r="B14" i="11"/>
  <c r="F8" i="12" s="1"/>
  <c r="P13" i="11"/>
  <c r="N13" i="11"/>
  <c r="L13" i="11"/>
  <c r="J13" i="11"/>
  <c r="H13" i="11"/>
  <c r="F13" i="11"/>
  <c r="D13" i="11"/>
  <c r="B13" i="11"/>
  <c r="E8" i="12" s="1"/>
  <c r="P12" i="11"/>
  <c r="N12" i="11"/>
  <c r="L12" i="11"/>
  <c r="J12" i="11"/>
  <c r="H12" i="11"/>
  <c r="F12" i="11"/>
  <c r="D12" i="11"/>
  <c r="P11" i="11"/>
  <c r="N11" i="11"/>
  <c r="L11" i="11"/>
  <c r="J11" i="11"/>
  <c r="H11" i="11"/>
  <c r="F11" i="11"/>
  <c r="D11" i="11"/>
  <c r="P10" i="11"/>
  <c r="N10" i="11"/>
  <c r="L10" i="11"/>
  <c r="J10" i="11"/>
  <c r="H10" i="11"/>
  <c r="F10" i="11"/>
  <c r="D10" i="11"/>
  <c r="P9" i="11"/>
  <c r="N9" i="11"/>
  <c r="L9" i="11"/>
  <c r="J9" i="11"/>
  <c r="H9" i="11"/>
  <c r="F9" i="11"/>
  <c r="D9" i="11"/>
  <c r="P8" i="11"/>
  <c r="N8" i="11"/>
  <c r="L8" i="11"/>
  <c r="J8" i="11"/>
  <c r="H8" i="11"/>
  <c r="F8" i="11"/>
  <c r="D8" i="11"/>
  <c r="P7" i="11"/>
  <c r="N7" i="11"/>
  <c r="L7" i="11"/>
  <c r="J7" i="11"/>
  <c r="H7" i="11"/>
  <c r="F7" i="11"/>
  <c r="D7" i="11"/>
  <c r="P6" i="11"/>
  <c r="N6" i="11"/>
  <c r="L6" i="11"/>
  <c r="J6" i="11"/>
  <c r="H6" i="11"/>
  <c r="F6" i="11"/>
  <c r="D6" i="11"/>
  <c r="P5" i="11"/>
  <c r="N5" i="11"/>
  <c r="L5" i="11"/>
  <c r="J5" i="11"/>
  <c r="H5" i="11"/>
  <c r="F5" i="11"/>
  <c r="D5" i="11"/>
  <c r="P4" i="11"/>
  <c r="N4" i="11"/>
  <c r="L4" i="11"/>
  <c r="J4" i="11"/>
  <c r="H4" i="11"/>
  <c r="F4" i="11"/>
  <c r="D4" i="11"/>
  <c r="O3" i="11"/>
  <c r="M3" i="11"/>
  <c r="K3" i="11"/>
  <c r="I3" i="11"/>
  <c r="G3" i="11"/>
  <c r="E3" i="11"/>
  <c r="C3" i="11"/>
  <c r="E15" i="10"/>
  <c r="E14" i="10"/>
  <c r="E13" i="10"/>
  <c r="E12" i="10"/>
  <c r="E11" i="10"/>
  <c r="E10" i="10"/>
  <c r="E9" i="10"/>
  <c r="I8" i="10"/>
  <c r="H8" i="10"/>
  <c r="G8" i="10"/>
  <c r="D8" i="10"/>
  <c r="G3" i="10"/>
  <c r="D3" i="10"/>
  <c r="I33" i="9"/>
  <c r="C33" i="9"/>
  <c r="B5" i="10" s="1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C26" i="9"/>
  <c r="E26" i="9" s="1"/>
  <c r="B26" i="9"/>
  <c r="C25" i="9"/>
  <c r="E25" i="9" s="1"/>
  <c r="B25" i="9"/>
  <c r="C23" i="9"/>
  <c r="E23" i="9" s="1"/>
  <c r="G23" i="9" s="1"/>
  <c r="I23" i="9" s="1"/>
  <c r="K23" i="9" s="1"/>
  <c r="M23" i="9" s="1"/>
  <c r="O23" i="9" s="1"/>
  <c r="C22" i="9"/>
  <c r="C14" i="9" s="1"/>
  <c r="B22" i="9"/>
  <c r="P17" i="9"/>
  <c r="N17" i="9"/>
  <c r="L17" i="9"/>
  <c r="J17" i="9"/>
  <c r="H17" i="9"/>
  <c r="F17" i="9"/>
  <c r="D17" i="9"/>
  <c r="B14" i="9"/>
  <c r="F8" i="10" s="1"/>
  <c r="P13" i="9"/>
  <c r="N13" i="9"/>
  <c r="L13" i="9"/>
  <c r="J13" i="9"/>
  <c r="H13" i="9"/>
  <c r="F13" i="9"/>
  <c r="D13" i="9"/>
  <c r="B13" i="9"/>
  <c r="E8" i="10" s="1"/>
  <c r="P12" i="9"/>
  <c r="N12" i="9"/>
  <c r="L12" i="9"/>
  <c r="J12" i="9"/>
  <c r="H12" i="9"/>
  <c r="F12" i="9"/>
  <c r="D12" i="9"/>
  <c r="P11" i="9"/>
  <c r="N11" i="9"/>
  <c r="L11" i="9"/>
  <c r="J11" i="9"/>
  <c r="H11" i="9"/>
  <c r="F11" i="9"/>
  <c r="D11" i="9"/>
  <c r="P10" i="9"/>
  <c r="N10" i="9"/>
  <c r="L10" i="9"/>
  <c r="J10" i="9"/>
  <c r="H10" i="9"/>
  <c r="F10" i="9"/>
  <c r="D10" i="9"/>
  <c r="P9" i="9"/>
  <c r="N9" i="9"/>
  <c r="L9" i="9"/>
  <c r="J9" i="9"/>
  <c r="H9" i="9"/>
  <c r="F9" i="9"/>
  <c r="D9" i="9"/>
  <c r="P8" i="9"/>
  <c r="N8" i="9"/>
  <c r="L8" i="9"/>
  <c r="J8" i="9"/>
  <c r="H8" i="9"/>
  <c r="F8" i="9"/>
  <c r="D8" i="9"/>
  <c r="P7" i="9"/>
  <c r="N7" i="9"/>
  <c r="L7" i="9"/>
  <c r="J7" i="9"/>
  <c r="H7" i="9"/>
  <c r="F7" i="9"/>
  <c r="D7" i="9"/>
  <c r="P6" i="9"/>
  <c r="N6" i="9"/>
  <c r="L6" i="9"/>
  <c r="J6" i="9"/>
  <c r="H6" i="9"/>
  <c r="F6" i="9"/>
  <c r="D6" i="9"/>
  <c r="P5" i="9"/>
  <c r="N5" i="9"/>
  <c r="L5" i="9"/>
  <c r="J5" i="9"/>
  <c r="H5" i="9"/>
  <c r="F5" i="9"/>
  <c r="D5" i="9"/>
  <c r="P4" i="9"/>
  <c r="N4" i="9"/>
  <c r="L4" i="9"/>
  <c r="J4" i="9"/>
  <c r="H4" i="9"/>
  <c r="F4" i="9"/>
  <c r="D4" i="9"/>
  <c r="O3" i="9"/>
  <c r="M3" i="9"/>
  <c r="K3" i="9"/>
  <c r="I3" i="9"/>
  <c r="G3" i="9"/>
  <c r="E3" i="9"/>
  <c r="C3" i="9"/>
  <c r="B5" i="4"/>
  <c r="M33" i="9" l="1"/>
  <c r="E26" i="11"/>
  <c r="G26" i="11" s="1"/>
  <c r="I26" i="11" s="1"/>
  <c r="K26" i="11" s="1"/>
  <c r="M26" i="11" s="1"/>
  <c r="O26" i="11" s="1"/>
  <c r="E25" i="11"/>
  <c r="G25" i="11" s="1"/>
  <c r="H11" i="12" s="1"/>
  <c r="M33" i="11"/>
  <c r="F9" i="12"/>
  <c r="E14" i="11"/>
  <c r="D22" i="11"/>
  <c r="E22" i="11"/>
  <c r="G22" i="11" s="1"/>
  <c r="I22" i="11" s="1"/>
  <c r="K22" i="11" s="1"/>
  <c r="M22" i="11" s="1"/>
  <c r="O22" i="11" s="1"/>
  <c r="H10" i="10"/>
  <c r="G25" i="9"/>
  <c r="G26" i="9"/>
  <c r="I10" i="10"/>
  <c r="E14" i="9"/>
  <c r="F9" i="10"/>
  <c r="D22" i="9"/>
  <c r="H9" i="10"/>
  <c r="I9" i="10"/>
  <c r="E22" i="9"/>
  <c r="G22" i="9" s="1"/>
  <c r="I22" i="9" s="1"/>
  <c r="K22" i="9" s="1"/>
  <c r="M22" i="9" s="1"/>
  <c r="O22" i="9" s="1"/>
  <c r="H10" i="12" l="1"/>
  <c r="I25" i="11"/>
  <c r="K25" i="11" s="1"/>
  <c r="I10" i="12"/>
  <c r="G14" i="11"/>
  <c r="F10" i="12"/>
  <c r="G14" i="9"/>
  <c r="F10" i="10"/>
  <c r="I11" i="10"/>
  <c r="I26" i="9"/>
  <c r="H11" i="10"/>
  <c r="I25" i="9"/>
  <c r="H12" i="12" l="1"/>
  <c r="I11" i="12"/>
  <c r="H13" i="12"/>
  <c r="M25" i="11"/>
  <c r="F11" i="12"/>
  <c r="I14" i="11"/>
  <c r="K25" i="9"/>
  <c r="H12" i="10"/>
  <c r="K26" i="9"/>
  <c r="I12" i="10"/>
  <c r="F11" i="10"/>
  <c r="I14" i="9"/>
  <c r="I12" i="12" l="1"/>
  <c r="F12" i="12"/>
  <c r="K14" i="11"/>
  <c r="H14" i="12"/>
  <c r="O25" i="11"/>
  <c r="F12" i="10"/>
  <c r="K14" i="9"/>
  <c r="M26" i="9"/>
  <c r="I13" i="10"/>
  <c r="H13" i="10"/>
  <c r="M25" i="9"/>
  <c r="I13" i="12" l="1"/>
  <c r="D5" i="12"/>
  <c r="H15" i="12"/>
  <c r="F13" i="12"/>
  <c r="M14" i="11"/>
  <c r="I14" i="10"/>
  <c r="O26" i="9"/>
  <c r="H14" i="10"/>
  <c r="O25" i="9"/>
  <c r="F13" i="10"/>
  <c r="M14" i="9"/>
  <c r="I14" i="12" l="1"/>
  <c r="O14" i="11"/>
  <c r="F15" i="12" s="1"/>
  <c r="F14" i="12"/>
  <c r="D5" i="10"/>
  <c r="H15" i="10"/>
  <c r="O14" i="9"/>
  <c r="F15" i="10" s="1"/>
  <c r="F14" i="10"/>
  <c r="I15" i="10"/>
  <c r="C34" i="9"/>
  <c r="G5" i="10"/>
  <c r="C34" i="11" l="1"/>
  <c r="I15" i="12"/>
  <c r="G5" i="12"/>
  <c r="F15" i="3" l="1"/>
  <c r="C28" i="3"/>
  <c r="E28" i="3" s="1"/>
  <c r="G28" i="3" s="1"/>
  <c r="I28" i="3" s="1"/>
  <c r="K28" i="3" s="1"/>
  <c r="M28" i="3" s="1"/>
  <c r="O28" i="3" s="1"/>
  <c r="C26" i="3" l="1"/>
  <c r="F4" i="2"/>
  <c r="E26" i="3" l="1"/>
  <c r="G26" i="3" s="1"/>
  <c r="I26" i="3" l="1"/>
  <c r="A14" i="2"/>
  <c r="A13" i="2"/>
  <c r="K26" i="3" l="1"/>
  <c r="M26" i="3" l="1"/>
  <c r="O26" i="3" s="1"/>
  <c r="N12" i="3"/>
  <c r="L12" i="3"/>
  <c r="J12" i="3"/>
  <c r="H12" i="3"/>
  <c r="F12" i="3"/>
  <c r="D12" i="3"/>
  <c r="P12" i="3"/>
  <c r="H15" i="3" l="1"/>
  <c r="D15" i="3"/>
  <c r="N15" i="3"/>
  <c r="P15" i="3"/>
  <c r="J15" i="3"/>
  <c r="P11" i="3"/>
  <c r="N11" i="3"/>
  <c r="L11" i="3"/>
  <c r="J11" i="3"/>
  <c r="H11" i="3"/>
  <c r="F11" i="3"/>
  <c r="D11" i="3"/>
  <c r="C25" i="3"/>
  <c r="A18" i="2"/>
  <c r="B25" i="3"/>
  <c r="B15" i="3"/>
  <c r="B16" i="3"/>
  <c r="C16" i="3" l="1"/>
  <c r="E16" i="3" s="1"/>
  <c r="G16" i="3" s="1"/>
  <c r="I16" i="3" s="1"/>
  <c r="K16" i="3" s="1"/>
  <c r="M16" i="3" s="1"/>
  <c r="O16" i="3" s="1"/>
  <c r="E25" i="3"/>
  <c r="G25" i="3" s="1"/>
  <c r="I25" i="3" s="1"/>
  <c r="K25" i="3" s="1"/>
  <c r="M25" i="3" s="1"/>
  <c r="O25" i="3" s="1"/>
  <c r="D25" i="3"/>
  <c r="L15" i="3"/>
  <c r="P13" i="3"/>
  <c r="N9" i="3"/>
  <c r="F13" i="3"/>
  <c r="P6" i="3"/>
  <c r="F10" i="3"/>
  <c r="L14" i="3"/>
  <c r="J10" i="3"/>
  <c r="F14" i="3"/>
  <c r="N8" i="3"/>
  <c r="P10" i="3"/>
  <c r="L13" i="3"/>
  <c r="J9" i="3"/>
  <c r="D13" i="3"/>
  <c r="N7" i="3"/>
  <c r="D9" i="3"/>
  <c r="N10" i="3"/>
  <c r="P7" i="3"/>
  <c r="P9" i="3"/>
  <c r="H14" i="3"/>
  <c r="D14" i="3"/>
  <c r="N6" i="3"/>
  <c r="D10" i="3"/>
  <c r="N14" i="3"/>
  <c r="L10" i="3"/>
  <c r="H13" i="3"/>
  <c r="L8" i="3"/>
  <c r="N13" i="3"/>
  <c r="L9" i="3"/>
  <c r="L7" i="3"/>
  <c r="P14" i="3"/>
  <c r="F9" i="3"/>
  <c r="J14" i="3"/>
  <c r="H10" i="3"/>
  <c r="P8" i="3"/>
  <c r="L6" i="3"/>
  <c r="J13" i="3"/>
  <c r="H9" i="3"/>
  <c r="G8" i="4" l="1"/>
  <c r="I8" i="4"/>
  <c r="H8" i="4"/>
  <c r="G3" i="4"/>
  <c r="D3" i="4"/>
  <c r="E15" i="4"/>
  <c r="E14" i="4"/>
  <c r="E13" i="4"/>
  <c r="E12" i="4"/>
  <c r="E11" i="4"/>
  <c r="E10" i="4"/>
  <c r="E9" i="4"/>
  <c r="B29" i="3"/>
  <c r="B28" i="3"/>
  <c r="F8" i="4"/>
  <c r="E8" i="4"/>
  <c r="J8" i="3"/>
  <c r="H8" i="3"/>
  <c r="F8" i="3"/>
  <c r="D8" i="3"/>
  <c r="J7" i="3"/>
  <c r="H7" i="3"/>
  <c r="F7" i="3"/>
  <c r="D7" i="3"/>
  <c r="J6" i="3"/>
  <c r="H6" i="3"/>
  <c r="F6" i="3"/>
  <c r="D6" i="3"/>
  <c r="O5" i="3"/>
  <c r="M5" i="3"/>
  <c r="K5" i="3"/>
  <c r="I5" i="3"/>
  <c r="G5" i="3"/>
  <c r="E5" i="3"/>
  <c r="C5" i="3"/>
  <c r="C25" i="2"/>
  <c r="D25" i="2" s="1"/>
  <c r="C24" i="2"/>
  <c r="D24" i="2" s="1"/>
  <c r="C23" i="2"/>
  <c r="D23" i="2" s="1"/>
  <c r="H9" i="4" l="1"/>
  <c r="C26" i="2"/>
  <c r="D26" i="2" l="1"/>
  <c r="H10" i="4"/>
  <c r="F15" i="11" l="1"/>
  <c r="F20" i="11" s="1"/>
  <c r="D15" i="11"/>
  <c r="D20" i="11" s="1"/>
  <c r="P15" i="11"/>
  <c r="P20" i="11" s="1"/>
  <c r="N15" i="11"/>
  <c r="N20" i="11" s="1"/>
  <c r="L15" i="11"/>
  <c r="L20" i="11" s="1"/>
  <c r="J15" i="11"/>
  <c r="J20" i="11" s="1"/>
  <c r="H15" i="11"/>
  <c r="H20" i="11" s="1"/>
  <c r="F15" i="9"/>
  <c r="F20" i="9" s="1"/>
  <c r="D15" i="9"/>
  <c r="D20" i="9" s="1"/>
  <c r="L15" i="9"/>
  <c r="L20" i="9" s="1"/>
  <c r="P15" i="9"/>
  <c r="P20" i="9" s="1"/>
  <c r="N15" i="9"/>
  <c r="N20" i="9" s="1"/>
  <c r="J15" i="9"/>
  <c r="J20" i="9" s="1"/>
  <c r="H15" i="9"/>
  <c r="H20" i="9" s="1"/>
  <c r="L17" i="3"/>
  <c r="J17" i="3"/>
  <c r="H17" i="3"/>
  <c r="F17" i="3"/>
  <c r="D17" i="3"/>
  <c r="P17" i="3"/>
  <c r="N17" i="3"/>
  <c r="I9" i="4"/>
  <c r="I10" i="4"/>
  <c r="H11" i="4"/>
  <c r="G20" i="11" l="1"/>
  <c r="D11" i="12" s="1"/>
  <c r="H21" i="11"/>
  <c r="G21" i="11"/>
  <c r="J11" i="12"/>
  <c r="I21" i="11"/>
  <c r="J21" i="11"/>
  <c r="J12" i="12"/>
  <c r="I20" i="11"/>
  <c r="D12" i="12" s="1"/>
  <c r="M20" i="11"/>
  <c r="D14" i="12" s="1"/>
  <c r="N21" i="11"/>
  <c r="M21" i="11"/>
  <c r="J14" i="12"/>
  <c r="J15" i="12"/>
  <c r="O20" i="11"/>
  <c r="D15" i="12" s="1"/>
  <c r="P21" i="11"/>
  <c r="O21" i="11"/>
  <c r="K20" i="11"/>
  <c r="D13" i="12" s="1"/>
  <c r="L21" i="11"/>
  <c r="J13" i="12"/>
  <c r="K21" i="11"/>
  <c r="C24" i="11"/>
  <c r="E24" i="11" s="1"/>
  <c r="J9" i="12"/>
  <c r="C20" i="11"/>
  <c r="D9" i="12" s="1"/>
  <c r="D21" i="11"/>
  <c r="C21" i="11"/>
  <c r="E20" i="11"/>
  <c r="D10" i="12" s="1"/>
  <c r="J10" i="12"/>
  <c r="F21" i="11"/>
  <c r="E21" i="11"/>
  <c r="I21" i="9"/>
  <c r="J21" i="9"/>
  <c r="J12" i="10"/>
  <c r="I20" i="9"/>
  <c r="D12" i="10" s="1"/>
  <c r="M20" i="9"/>
  <c r="D14" i="10" s="1"/>
  <c r="N21" i="9"/>
  <c r="M21" i="9"/>
  <c r="J14" i="10"/>
  <c r="J15" i="10"/>
  <c r="O20" i="9"/>
  <c r="D15" i="10" s="1"/>
  <c r="O21" i="9"/>
  <c r="P21" i="9"/>
  <c r="K20" i="9"/>
  <c r="D13" i="10" s="1"/>
  <c r="L21" i="9"/>
  <c r="J13" i="10"/>
  <c r="K21" i="9"/>
  <c r="G20" i="9"/>
  <c r="D11" i="10" s="1"/>
  <c r="H21" i="9"/>
  <c r="G21" i="9"/>
  <c r="J11" i="10"/>
  <c r="C24" i="9"/>
  <c r="E24" i="9" s="1"/>
  <c r="J9" i="10"/>
  <c r="D21" i="9"/>
  <c r="C20" i="9"/>
  <c r="D9" i="10" s="1"/>
  <c r="C21" i="9"/>
  <c r="E20" i="9"/>
  <c r="D10" i="10" s="1"/>
  <c r="J10" i="10"/>
  <c r="F21" i="9"/>
  <c r="E21" i="9"/>
  <c r="I11" i="4"/>
  <c r="H12" i="4"/>
  <c r="E16" i="11" l="1"/>
  <c r="G10" i="12" s="1"/>
  <c r="F24" i="11"/>
  <c r="G24" i="11"/>
  <c r="C16" i="11"/>
  <c r="G9" i="12" s="1"/>
  <c r="D24" i="11"/>
  <c r="E16" i="9"/>
  <c r="G10" i="10" s="1"/>
  <c r="F24" i="9"/>
  <c r="G24" i="9"/>
  <c r="C16" i="9"/>
  <c r="G9" i="10" s="1"/>
  <c r="D24" i="9"/>
  <c r="I12" i="4"/>
  <c r="H13" i="4"/>
  <c r="G16" i="11" l="1"/>
  <c r="G11" i="12" s="1"/>
  <c r="H24" i="11"/>
  <c r="I24" i="11"/>
  <c r="G16" i="9"/>
  <c r="G11" i="10" s="1"/>
  <c r="H24" i="9"/>
  <c r="I24" i="9"/>
  <c r="I13" i="4"/>
  <c r="J24" i="11" l="1"/>
  <c r="I16" i="11"/>
  <c r="G12" i="12" s="1"/>
  <c r="K24" i="11"/>
  <c r="J24" i="9"/>
  <c r="I16" i="9"/>
  <c r="G12" i="10" s="1"/>
  <c r="K24" i="9"/>
  <c r="H14" i="4"/>
  <c r="I14" i="4"/>
  <c r="K16" i="11" l="1"/>
  <c r="G13" i="12" s="1"/>
  <c r="L24" i="11"/>
  <c r="M24" i="11"/>
  <c r="L24" i="9"/>
  <c r="K16" i="9"/>
  <c r="G13" i="10" s="1"/>
  <c r="M24" i="9"/>
  <c r="D5" i="4"/>
  <c r="H15" i="4"/>
  <c r="I15" i="4"/>
  <c r="N24" i="11" l="1"/>
  <c r="M16" i="11"/>
  <c r="G14" i="12" s="1"/>
  <c r="O24" i="11"/>
  <c r="N24" i="9"/>
  <c r="M16" i="9"/>
  <c r="G14" i="10" s="1"/>
  <c r="O24" i="9"/>
  <c r="G5" i="4"/>
  <c r="C3" i="3"/>
  <c r="P24" i="11" l="1"/>
  <c r="O16" i="11"/>
  <c r="G15" i="12" s="1"/>
  <c r="P24" i="9"/>
  <c r="O16" i="9"/>
  <c r="G15" i="10" s="1"/>
  <c r="F9" i="4"/>
  <c r="F10" i="4"/>
  <c r="F11" i="4"/>
  <c r="F12" i="4"/>
  <c r="F13" i="4"/>
  <c r="F14" i="4"/>
  <c r="F15" i="4"/>
  <c r="F22" i="3" l="1"/>
  <c r="J10" i="4" s="1"/>
  <c r="H22" i="3"/>
  <c r="D22" i="3"/>
  <c r="J9" i="4" s="1"/>
  <c r="P22" i="3"/>
  <c r="J15" i="4" s="1"/>
  <c r="N22" i="3"/>
  <c r="J14" i="4" s="1"/>
  <c r="L22" i="3"/>
  <c r="J13" i="4" s="1"/>
  <c r="J22" i="3"/>
  <c r="J12" i="4" s="1"/>
  <c r="J11" i="4" l="1"/>
  <c r="I22" i="3"/>
  <c r="D12" i="4" s="1"/>
  <c r="D23" i="3"/>
  <c r="D24" i="3" s="1"/>
  <c r="C22" i="3"/>
  <c r="D9" i="4" s="1"/>
  <c r="C27" i="3"/>
  <c r="M22" i="3"/>
  <c r="D14" i="4" s="1"/>
  <c r="G22" i="3"/>
  <c r="D11" i="4" s="1"/>
  <c r="K22" i="3"/>
  <c r="D13" i="4" s="1"/>
  <c r="O22" i="3"/>
  <c r="D15" i="4" s="1"/>
  <c r="E22" i="3"/>
  <c r="D10" i="4" s="1"/>
  <c r="D27" i="3" l="1"/>
  <c r="C18" i="3"/>
  <c r="G9" i="4" s="1"/>
  <c r="E27" i="3"/>
  <c r="E18" i="3" l="1"/>
  <c r="G10" i="4" s="1"/>
  <c r="F27" i="3"/>
  <c r="G27" i="3"/>
  <c r="G18" i="3" l="1"/>
  <c r="G11" i="4" s="1"/>
  <c r="H27" i="3"/>
  <c r="I27" i="3"/>
  <c r="I18" i="3" l="1"/>
  <c r="G12" i="4" s="1"/>
  <c r="J27" i="3"/>
  <c r="K27" i="3"/>
  <c r="K18" i="3" l="1"/>
  <c r="G13" i="4" s="1"/>
  <c r="L27" i="3"/>
  <c r="M27" i="3"/>
  <c r="M18" i="3" l="1"/>
  <c r="G14" i="4" s="1"/>
  <c r="N27" i="3"/>
  <c r="O27" i="3"/>
  <c r="O18" i="3" l="1"/>
  <c r="G15" i="4" s="1"/>
  <c r="P27" i="3"/>
  <c r="B30" i="13"/>
  <c r="C30" i="13"/>
  <c r="D30" i="13"/>
  <c r="E30" i="13"/>
</calcChain>
</file>

<file path=xl/sharedStrings.xml><?xml version="1.0" encoding="utf-8"?>
<sst xmlns="http://schemas.openxmlformats.org/spreadsheetml/2006/main" count="463" uniqueCount="219">
  <si>
    <t>翡翠</t>
  </si>
  <si>
    <t>合计</t>
  </si>
  <si>
    <t>抽奖道具</t>
  </si>
  <si>
    <t>普通兑换道具</t>
  </si>
  <si>
    <t>数量</t>
  </si>
  <si>
    <t>概率</t>
  </si>
  <si>
    <t>积分</t>
  </si>
  <si>
    <t>高级兑换道具</t>
  </si>
  <si>
    <t>档位</t>
  </si>
  <si>
    <t>累积积分</t>
  </si>
  <si>
    <t>累积随机箱</t>
  </si>
  <si>
    <t>第1档</t>
  </si>
  <si>
    <t>第2档</t>
  </si>
  <si>
    <t>第3档</t>
  </si>
  <si>
    <t>第4档</t>
  </si>
  <si>
    <t>第5档</t>
  </si>
  <si>
    <t>积分规则</t>
  </si>
  <si>
    <t>钻石购买</t>
  </si>
  <si>
    <t>钻石</t>
  </si>
  <si>
    <t>限购=</t>
  </si>
  <si>
    <t>个/天</t>
  </si>
  <si>
    <t>随机箱</t>
  </si>
  <si>
    <t>平均(个)</t>
  </si>
  <si>
    <t>积分（分）</t>
  </si>
  <si>
    <t>价格（RMB）</t>
  </si>
  <si>
    <t>第1天</t>
  </si>
  <si>
    <t>第2天</t>
  </si>
  <si>
    <t>第3天</t>
  </si>
  <si>
    <t>第4天</t>
  </si>
  <si>
    <t>第5天</t>
  </si>
  <si>
    <t>第6天</t>
  </si>
  <si>
    <t>第7天</t>
  </si>
  <si>
    <t>每日任务</t>
  </si>
  <si>
    <t>使用随机箱</t>
  </si>
  <si>
    <t>剩余随机箱</t>
  </si>
  <si>
    <t>天数</t>
  </si>
  <si>
    <t>Day1</t>
    <phoneticPr fontId="20" type="noConversion"/>
  </si>
  <si>
    <t>Day2</t>
    <phoneticPr fontId="20" type="noConversion"/>
  </si>
  <si>
    <t>Day3</t>
    <phoneticPr fontId="20" type="noConversion"/>
  </si>
  <si>
    <t>Day4</t>
    <phoneticPr fontId="20" type="noConversion"/>
  </si>
  <si>
    <t>Day5</t>
    <phoneticPr fontId="20" type="noConversion"/>
  </si>
  <si>
    <t>Day6</t>
    <phoneticPr fontId="20" type="noConversion"/>
  </si>
  <si>
    <t>Day7</t>
    <phoneticPr fontId="20" type="noConversion"/>
  </si>
  <si>
    <t>风险提示</t>
    <phoneticPr fontId="20" type="noConversion"/>
  </si>
  <si>
    <t>今天只做这些</t>
    <phoneticPr fontId="20" type="noConversion"/>
  </si>
  <si>
    <t>预算</t>
    <phoneticPr fontId="20" type="noConversion"/>
  </si>
  <si>
    <t>总体策略</t>
    <phoneticPr fontId="20" type="noConversion"/>
  </si>
  <si>
    <t>氪金RMB</t>
    <phoneticPr fontId="20" type="noConversion"/>
  </si>
  <si>
    <t>氪金翡翠</t>
    <phoneticPr fontId="20" type="noConversion"/>
  </si>
  <si>
    <t>免费基金</t>
    <phoneticPr fontId="20" type="noConversion"/>
  </si>
  <si>
    <t>活动签到</t>
    <phoneticPr fontId="20" type="noConversion"/>
  </si>
  <si>
    <t>氪金礼包</t>
    <phoneticPr fontId="20" type="noConversion"/>
  </si>
  <si>
    <t>氪金基金</t>
    <phoneticPr fontId="20" type="noConversion"/>
  </si>
  <si>
    <t>首次登录</t>
    <phoneticPr fontId="20" type="noConversion"/>
  </si>
  <si>
    <t>？</t>
    <phoneticPr fontId="20" type="noConversion"/>
  </si>
  <si>
    <t>总随机箱</t>
    <phoneticPr fontId="20" type="noConversion"/>
  </si>
  <si>
    <t>目标档位</t>
    <phoneticPr fontId="20" type="noConversion"/>
  </si>
  <si>
    <t>下一档位</t>
    <phoneticPr fontId="20" type="noConversion"/>
  </si>
  <si>
    <t>广告观看</t>
    <phoneticPr fontId="20" type="noConversion"/>
  </si>
  <si>
    <t>橙秘宝自选箱×1</t>
  </si>
  <si>
    <t>限定烙印自选箱×1</t>
  </si>
  <si>
    <t>S史诗传承自选箱×1</t>
  </si>
  <si>
    <t>连携祝福卷轴×1</t>
  </si>
  <si>
    <t>置换符×1</t>
  </si>
  <si>
    <t>天外陨铁×10</t>
  </si>
  <si>
    <t>随机英杰箱×1</t>
  </si>
  <si>
    <t>史诗传承自选箱×1</t>
  </si>
  <si>
    <t>传承书自选箱×1</t>
  </si>
  <si>
    <t>随机烙印箱×1</t>
  </si>
  <si>
    <t>装备图纸×20</t>
  </si>
  <si>
    <t>祈愿函×5</t>
  </si>
  <si>
    <t>传说钥匙×5</t>
  </si>
  <si>
    <t>宝石钥匙×5</t>
  </si>
  <si>
    <t>秘宝钥匙×5</t>
  </si>
  <si>
    <t>英杰契约×1</t>
  </si>
  <si>
    <t>消耗内容</t>
  </si>
  <si>
    <t>获得内容</t>
  </si>
  <si>
    <t>限购次数</t>
  </si>
  <si>
    <t>高级兑换</t>
    <phoneticPr fontId="20" type="noConversion"/>
  </si>
  <si>
    <t>普通兑换</t>
    <phoneticPr fontId="20" type="noConversion"/>
  </si>
  <si>
    <t>卡皮筹码×5</t>
  </si>
  <si>
    <t>主线第150章生存1天；开服179天</t>
  </si>
  <si>
    <t>精力×10</t>
  </si>
  <si>
    <t>限制条件</t>
    <phoneticPr fontId="20" type="noConversion"/>
  </si>
  <si>
    <t>公式</t>
    <phoneticPr fontId="20" type="noConversion"/>
  </si>
  <si>
    <t>结果</t>
    <phoneticPr fontId="20" type="noConversion"/>
  </si>
  <si>
    <t>项目</t>
    <phoneticPr fontId="20" type="noConversion"/>
  </si>
  <si>
    <t>抽奖期望统计（各项目/1抽奖币）</t>
    <phoneticPr fontId="20" type="noConversion"/>
  </si>
  <si>
    <t>.</t>
    <phoneticPr fontId="20" type="noConversion"/>
  </si>
  <si>
    <t>臻选皮肤自选箱×1</t>
  </si>
  <si>
    <t>家园币×50</t>
  </si>
  <si>
    <t>档位积分</t>
    <phoneticPr fontId="20" type="noConversion"/>
  </si>
  <si>
    <t>积分兑换</t>
    <phoneticPr fontId="20" type="noConversion"/>
  </si>
  <si>
    <t>总使用鱼饵</t>
    <phoneticPr fontId="20" type="noConversion"/>
  </si>
  <si>
    <t>当日档位积分</t>
  </si>
  <si>
    <t>特殊日</t>
    <phoneticPr fontId="20" type="noConversion"/>
  </si>
  <si>
    <t>华彩兔灯×750</t>
  </si>
  <si>
    <t>华彩兔灯×1450</t>
  </si>
  <si>
    <t>神兵魔方×60</t>
  </si>
  <si>
    <t>高级炼金试剂×400</t>
  </si>
  <si>
    <t>不变石×200</t>
  </si>
  <si>
    <t>极化晶石×200</t>
  </si>
  <si>
    <t>华彩兔灯×1050</t>
  </si>
  <si>
    <t>觉醒核心自选箱×1</t>
  </si>
  <si>
    <t>华彩兔灯×200</t>
  </si>
  <si>
    <t>华彩兔灯×120</t>
  </si>
  <si>
    <t>神兵魔方×5</t>
  </si>
  <si>
    <t>华彩兔灯×25</t>
  </si>
  <si>
    <t>高级炼金试剂×5</t>
  </si>
  <si>
    <t>华彩兔灯×740</t>
  </si>
  <si>
    <t>限定藏品自选箱×1</t>
  </si>
  <si>
    <t>华彩兔灯×440</t>
  </si>
  <si>
    <t>华彩兔灯×380</t>
  </si>
  <si>
    <t>S武器自选箱×1</t>
  </si>
  <si>
    <t>S装备自选箱×1</t>
  </si>
  <si>
    <t>华彩兔灯×350</t>
  </si>
  <si>
    <t>华彩兔灯×130</t>
  </si>
  <si>
    <t>随机传说宝石箱×1</t>
  </si>
  <si>
    <t>华彩兔灯×5</t>
  </si>
  <si>
    <t>桃花兔灯×12000</t>
  </si>
  <si>
    <t>桃花兔灯×4500</t>
  </si>
  <si>
    <t>史诗坐骑核心自选箱×1</t>
  </si>
  <si>
    <t>桃花兔灯×3250</t>
  </si>
  <si>
    <t>桃花兔灯×3000</t>
  </si>
  <si>
    <t>稀有坐骑核心自选箱×1</t>
  </si>
  <si>
    <t>桃花兔灯×2500</t>
  </si>
  <si>
    <t>桃花兔灯×2250</t>
  </si>
  <si>
    <t>优秀坐骑核心自选箱×1</t>
  </si>
  <si>
    <t>桃花兔灯×1750</t>
  </si>
  <si>
    <t>幸运银币×3</t>
  </si>
  <si>
    <t>桃花兔灯×1200</t>
  </si>
  <si>
    <t>桃花兔灯×1000</t>
  </si>
  <si>
    <t>天外陨铁×100</t>
  </si>
  <si>
    <t>桃花兔灯×900</t>
  </si>
  <si>
    <t>桃花兔灯×600</t>
  </si>
  <si>
    <t>宠物蛋×100</t>
  </si>
  <si>
    <t>桃花兔灯×350</t>
  </si>
  <si>
    <t>桃花兔灯×300</t>
  </si>
  <si>
    <t>桃花兔灯×250</t>
  </si>
  <si>
    <t>桃花兔灯×290</t>
  </si>
  <si>
    <t>华彩兔灯×10</t>
  </si>
  <si>
    <t>桃花兔灯×225</t>
  </si>
  <si>
    <t>不变石×1</t>
  </si>
  <si>
    <t>桃花兔灯×150</t>
  </si>
  <si>
    <t>桃花兔灯×125</t>
  </si>
  <si>
    <t>金蹄铁×50</t>
  </si>
  <si>
    <t>神威锤×50</t>
  </si>
  <si>
    <t>月兔券</t>
    <phoneticPr fontId="20" type="noConversion"/>
  </si>
  <si>
    <t>桃花兔灯×18000</t>
    <phoneticPr fontId="20" type="noConversion"/>
  </si>
  <si>
    <t>桃花兔灯</t>
    <phoneticPr fontId="20" type="noConversion"/>
  </si>
  <si>
    <t>华彩兔灯×1450</t>
    <phoneticPr fontId="20" type="noConversion"/>
  </si>
  <si>
    <t>华彩兔灯</t>
  </si>
  <si>
    <t>兑换华彩兔灯</t>
    <phoneticPr fontId="20" type="noConversion"/>
  </si>
  <si>
    <t>实测+脚本模拟</t>
    <phoneticPr fontId="20" type="noConversion"/>
  </si>
  <si>
    <t>刮刮乐模式解释：
当普通兑换道具不符合[51,62]个/券的区间时，系统会更换补偿或抑制模式来调整概率以修正期望值。
当高级兑换道具不符合[0.81,0.99]个/券的区间时，系统会更换补偿或抑制模式来调整概率以修正期望值。</t>
    <phoneticPr fontId="20" type="noConversion"/>
  </si>
  <si>
    <t>备注</t>
    <phoneticPr fontId="20" type="noConversion"/>
  </si>
  <si>
    <t>上次我用中间值0.86来算的翻车太多了</t>
    <phoneticPr fontId="20" type="noConversion"/>
  </si>
  <si>
    <t>① 进活动页面送5月兔券
② 任务43券+钻石购买100券
③ 今日不刮即可第2档</t>
    <phoneticPr fontId="20" type="noConversion"/>
  </si>
  <si>
    <t>① 任务43券+钻石购买100券
② 用约50券抽到40华彩兔灯</t>
    <phoneticPr fontId="20" type="noConversion"/>
  </si>
  <si>
    <t>① 任务43券+钻石购买100券
② 用约756券(用完)抽到610华彩兔灯
③ 商店兑换100华彩兔灯
④ 打开42随机箱到第3档后领12随机箱全部打开</t>
    <phoneticPr fontId="20" type="noConversion"/>
  </si>
  <si>
    <t>汉谟拉比法典×1</t>
    <phoneticPr fontId="20" type="noConversion"/>
  </si>
  <si>
    <t>罗塞塔石碑×1</t>
    <phoneticPr fontId="20" type="noConversion"/>
  </si>
  <si>
    <t>桂月玉兔×1</t>
    <phoneticPr fontId="20" type="noConversion"/>
  </si>
  <si>
    <t>月兔寻宝｜10.5万钻攻略</t>
    <phoneticPr fontId="20" type="noConversion"/>
  </si>
  <si>
    <t>至尊自选箱×1</t>
    <phoneticPr fontId="20" type="noConversion"/>
  </si>
  <si>
    <t>觉醒核心自选箱×1</t>
    <phoneticPr fontId="20" type="noConversion"/>
  </si>
  <si>
    <r>
      <t xml:space="preserve">可兑换： 汉谟拉比法典×1 或 罗塞塔石碑×1 或 </t>
    </r>
    <r>
      <rPr>
        <b/>
        <sz val="12"/>
        <color rgb="FFFF0000"/>
        <rFont val="微软雅黑"/>
        <family val="2"/>
        <charset val="134"/>
      </rPr>
      <t>桂月玉兔×1 + 至尊自选箱×1 + 觉醒核心自选箱×2</t>
    </r>
    <phoneticPr fontId="20" type="noConversion"/>
  </si>
  <si>
    <t>该模式概率波动大，只有按照≥0.81华彩兔灯的理论值计算才能第7天拿第3档奖励。
前6天尽量控制在50券以内，第4第5行奖励只有材料或桃花兔灯×80/×100的时候考虑提前结算奖励
第7天不要提前开随机箱和商店兑换华彩兔灯，拉高了比例可能会导致抽奖进入抑制模式降低整体概率
提前算好自己还有几张券能开几轮，正常1轮6券、至少要4张券才能结算1轮，不够得话无法拿到奖励</t>
    <phoneticPr fontId="20" type="noConversion"/>
  </si>
  <si>
    <r>
      <t xml:space="preserve">可兑换： </t>
    </r>
    <r>
      <rPr>
        <b/>
        <sz val="12"/>
        <color rgb="FFFF0000"/>
        <rFont val="微软雅黑"/>
        <family val="2"/>
        <charset val="134"/>
      </rPr>
      <t>桂月玉兔×1 + 至尊自选箱×1 + 觉醒核心自选箱×1</t>
    </r>
    <phoneticPr fontId="20" type="noConversion"/>
  </si>
  <si>
    <t>月兔寻宝｜4.5万钻攻略</t>
    <phoneticPr fontId="20" type="noConversion"/>
  </si>
  <si>
    <t>① 任务43券</t>
    <phoneticPr fontId="20" type="noConversion"/>
  </si>
  <si>
    <t>① 任务43券
② 用约506券(用完)抽到410华彩兔灯
③ 商店兑换100华彩兔灯
④ 打开18随机箱</t>
    <phoneticPr fontId="20" type="noConversion"/>
  </si>
  <si>
    <t>第7天如果不够30000桃花兔灯或750华彩兔灯，可以再买券去抽。
本方案只是为了换3个道具，如需兑换其他物品则自主额外买券。理论值为每1券=55桃花兔灯=0.8华彩兔灯</t>
    <phoneticPr fontId="20" type="noConversion"/>
  </si>
  <si>
    <t>氪金华彩兔灯</t>
    <phoneticPr fontId="20" type="noConversion"/>
  </si>
  <si>
    <t>氪金日</t>
    <phoneticPr fontId="20" type="noConversion"/>
  </si>
  <si>
    <t>① 任务43券+钻石购买100券
② 氪金购买月兔券礼包Ⅰ、Ⅱ得50券
③ 用约175券抽到140华彩兔灯</t>
    <phoneticPr fontId="20" type="noConversion"/>
  </si>
  <si>
    <t>① 任务43券+钻石购买100券
② 氪金购买月兔券礼包Ⅰ、Ⅱ、Ⅳ得150券
③ 氪金购买华彩兔灯礼包Ⅰ得75华彩兔灯
④ 用约606券(用完)抽到490华彩兔灯
⑤ 商店兑换100华彩兔灯、用完所有随机箱</t>
    <phoneticPr fontId="20" type="noConversion"/>
  </si>
  <si>
    <r>
      <t xml:space="preserve">可兑换： 汉谟拉比法典×1 + 罗塞塔石碑×1 </t>
    </r>
    <r>
      <rPr>
        <b/>
        <sz val="12"/>
        <color rgb="FFFF0000"/>
        <rFont val="微软雅黑"/>
        <family val="2"/>
        <charset val="134"/>
      </rPr>
      <t xml:space="preserve"> + 至尊自选箱×1 + 觉醒核心自选箱×2</t>
    </r>
    <phoneticPr fontId="20" type="noConversion"/>
  </si>
  <si>
    <t>月兔寻宝｜13500翡翠氪金攻略(2秘宝)</t>
    <phoneticPr fontId="20" type="noConversion"/>
  </si>
  <si>
    <t>收尾日</t>
    <phoneticPr fontId="20" type="noConversion"/>
  </si>
  <si>
    <t>担心运气不好得话，可以Day1或Day2额外花500翡翠购买20张券
第3~6天尽量控制在175券以内，第4第5行奖励只有材料或桃花兔灯×80/×100的时候考虑提前结算奖励
第7天不要提前开随机箱和商店兑换华彩兔灯，拉高了比例可能会导致抽奖进入抑制模式降低整体概率
提前算好自己还有几张券能开几轮，正常1轮6券、至少要4张券才能结算1轮，不够得话无法拿到奖励</t>
    <phoneticPr fontId="20" type="noConversion"/>
  </si>
  <si>
    <t>105000钻石+13500翡翠</t>
    <phoneticPr fontId="20" type="noConversion"/>
  </si>
  <si>
    <t>性价比(门票/翡翠)</t>
  </si>
  <si>
    <t>钻石（个）</t>
  </si>
  <si>
    <t>金额（元）</t>
  </si>
  <si>
    <t>礼包项目</t>
  </si>
  <si>
    <t>中秋基金免费奖励（免费基金）</t>
    <phoneticPr fontId="20" type="noConversion"/>
  </si>
  <si>
    <t>免费玉兔券礼包（广告）</t>
  </si>
  <si>
    <t>玉兔券礼包Ⅰ（买2次）</t>
  </si>
  <si>
    <t>玉兔券礼包Ⅱ（买2次）</t>
  </si>
  <si>
    <t>宝石玉兔券礼包（宝石）</t>
    <phoneticPr fontId="20" type="noConversion"/>
  </si>
  <si>
    <t>中秋基金氪金奖励（氪金基金）</t>
    <phoneticPr fontId="20" type="noConversion"/>
  </si>
  <si>
    <t>月下奇遇转盘顶部特惠礼包2</t>
  </si>
  <si>
    <t>玉兔券（张）</t>
    <phoneticPr fontId="20" type="noConversion"/>
  </si>
  <si>
    <t>月下奇遇转盘顶部特惠礼包1</t>
    <phoneticPr fontId="20" type="noConversion"/>
  </si>
  <si>
    <t>月下奇遇特惠礼包(弹窗礼包)</t>
    <phoneticPr fontId="20" type="noConversion"/>
  </si>
  <si>
    <t>可以先从上到下，买到玉兔券礼包Ⅱ两次。发现自己提前出限量奖励可以这样买，总共302抽</t>
    <phoneticPr fontId="20" type="noConversion"/>
  </si>
  <si>
    <t>买个基金有概率能得到桂香糕模×10 换方块魔像。不够按照性价比继续买</t>
  </si>
  <si>
    <t>价格</t>
    <phoneticPr fontId="20" type="noConversion"/>
  </si>
  <si>
    <t>翡翠</t>
    <phoneticPr fontId="20" type="noConversion"/>
  </si>
  <si>
    <t>每日限购</t>
    <phoneticPr fontId="20" type="noConversion"/>
  </si>
  <si>
    <t>翡翠性价比</t>
    <phoneticPr fontId="20" type="noConversion"/>
  </si>
  <si>
    <t>活动天数</t>
    <phoneticPr fontId="20" type="noConversion"/>
  </si>
  <si>
    <t>全部统计</t>
    <phoneticPr fontId="20" type="noConversion"/>
  </si>
  <si>
    <t>积分来源</t>
    <phoneticPr fontId="20" type="noConversion"/>
  </si>
  <si>
    <t>购买次数</t>
    <phoneticPr fontId="20" type="noConversion"/>
  </si>
  <si>
    <t>礼包序号</t>
    <phoneticPr fontId="20" type="noConversion"/>
  </si>
  <si>
    <t>Ⅰ</t>
    <phoneticPr fontId="20" type="noConversion"/>
  </si>
  <si>
    <t>Ⅱ</t>
    <phoneticPr fontId="20" type="noConversion"/>
  </si>
  <si>
    <t>Ⅲ</t>
    <phoneticPr fontId="20" type="noConversion"/>
  </si>
  <si>
    <t>Ⅳ</t>
    <phoneticPr fontId="20" type="noConversion"/>
  </si>
  <si>
    <t>Ⅴ</t>
    <phoneticPr fontId="20" type="noConversion"/>
  </si>
  <si>
    <t>Ⅵ</t>
    <phoneticPr fontId="20" type="noConversion"/>
  </si>
  <si>
    <t>Ⅶ</t>
    <phoneticPr fontId="20" type="noConversion"/>
  </si>
  <si>
    <t>礼包选择</t>
    <phoneticPr fontId="20" type="noConversion"/>
  </si>
  <si>
    <t>目标档位</t>
    <phoneticPr fontId="20" type="noConversion"/>
  </si>
  <si>
    <t>当前档位积分</t>
    <phoneticPr fontId="20" type="noConversion"/>
  </si>
  <si>
    <t>上下档位积分</t>
    <phoneticPr fontId="20" type="noConversion"/>
  </si>
  <si>
    <t>溢出/缺少积分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</si>
</sst>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0.000"/>
  </numFmts>
  <fonts count="29">
    <font>
      <sz val="11"/>
      <color theme="1"/>
      <name val="等线"/>
    </font>
    <font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1"/>
      <color theme="1"/>
      <name val="等线"/>
      <family val="3"/>
      <charset val="134"/>
    </font>
    <font>
      <sz val="12"/>
      <color theme="0"/>
      <name val="微软雅黑"/>
      <family val="2"/>
      <charset val="134"/>
    </font>
    <font>
      <sz val="11"/>
      <name val="Carlito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375623"/>
      <name val="微软雅黑"/>
      <family val="2"/>
      <charset val="134"/>
    </font>
    <font>
      <b/>
      <sz val="14"/>
      <color rgb="FF7030A0"/>
      <name val="微软雅黑"/>
      <family val="2"/>
      <charset val="134"/>
    </font>
    <font>
      <b/>
      <sz val="19"/>
      <color rgb="FFFFFFFF"/>
      <name val="微软雅黑"/>
      <family val="2"/>
      <charset val="134"/>
    </font>
    <font>
      <b/>
      <sz val="14"/>
      <color rgb="FF375623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color rgb="FF29415C"/>
      <name val="微软雅黑"/>
      <family val="2"/>
      <charset val="134"/>
    </font>
    <font>
      <b/>
      <sz val="11"/>
      <color rgb="FF9C5700"/>
      <name val="微软雅黑"/>
      <family val="2"/>
      <charset val="134"/>
    </font>
    <font>
      <b/>
      <sz val="14"/>
      <color rgb="FF9C5700"/>
      <name val="微软雅黑"/>
      <family val="2"/>
      <charset val="134"/>
    </font>
    <font>
      <b/>
      <sz val="9"/>
      <color rgb="FF9C5700"/>
      <name val="微软雅黑"/>
      <family val="2"/>
      <charset val="134"/>
    </font>
    <font>
      <sz val="9"/>
      <name val="宋体"/>
      <family val="3"/>
      <charset val="134"/>
    </font>
    <font>
      <b/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20"/>
      <color rgb="FFFFFFFF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b/>
      <sz val="16"/>
      <color theme="0"/>
      <name val="微软雅黑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00B050"/>
      </patternFill>
    </fill>
    <fill>
      <patternFill patternType="solid">
        <fgColor rgb="FF7030A0"/>
      </patternFill>
    </fill>
    <fill>
      <patternFill patternType="solid">
        <fgColor theme="0"/>
      </patternFill>
    </fill>
    <fill>
      <patternFill patternType="solid">
        <fgColor rgb="FFC00000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theme="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88A20"/>
      </patternFill>
    </fill>
    <fill>
      <patternFill patternType="solid">
        <fgColor rgb="FFFFF2CC"/>
      </patternFill>
    </fill>
    <fill>
      <patternFill patternType="solid">
        <fgColor rgb="FF9C5700"/>
      </patternFill>
    </fill>
    <fill>
      <patternFill patternType="solid">
        <fgColor rgb="FFFFF8E7"/>
      </patternFill>
    </fill>
    <fill>
      <patternFill patternType="solid">
        <fgColor rgb="FFF8CBAD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B0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D9D9D9"/>
      </bottom>
      <diagonal/>
    </border>
    <border>
      <left style="thick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ck">
        <color rgb="FF000000"/>
      </right>
      <top/>
      <bottom style="thin">
        <color rgb="FFD9D9D9"/>
      </bottom>
      <diagonal/>
    </border>
    <border>
      <left/>
      <right style="thick">
        <color rgb="FF000000"/>
      </right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D9D9D9"/>
      </top>
      <bottom style="thick">
        <color rgb="FF000000"/>
      </bottom>
      <diagonal/>
    </border>
    <border>
      <left/>
      <right/>
      <top style="thin">
        <color rgb="FFD9D9D9"/>
      </top>
      <bottom style="thick">
        <color rgb="FF000000"/>
      </bottom>
      <diagonal/>
    </border>
    <border>
      <left/>
      <right style="thick">
        <color rgb="FF000000"/>
      </right>
      <top style="thin">
        <color rgb="FFD9D9D9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rgb="FFD88A20"/>
      </top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8">
    <xf numFmtId="0" fontId="0" fillId="0" borderId="0"/>
    <xf numFmtId="0" fontId="6" fillId="0" borderId="0"/>
    <xf numFmtId="0" fontId="8" fillId="0" borderId="0"/>
    <xf numFmtId="0" fontId="8" fillId="0" borderId="0"/>
    <xf numFmtId="0" fontId="6" fillId="0" borderId="14"/>
    <xf numFmtId="0" fontId="6" fillId="0" borderId="14"/>
    <xf numFmtId="0" fontId="8" fillId="0" borderId="14"/>
    <xf numFmtId="0" fontId="8" fillId="0" borderId="14"/>
  </cellStyleXfs>
  <cellXfs count="224">
    <xf numFmtId="0" fontId="0" fillId="0" borderId="0" xfId="0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9" fillId="0" borderId="0" xfId="3" applyFont="1" applyAlignment="1">
      <alignment horizontal="center"/>
    </xf>
    <xf numFmtId="0" fontId="16" fillId="13" borderId="14" xfId="0" applyFont="1" applyFill="1" applyBorder="1" applyAlignment="1">
      <alignment horizontal="center" vertical="center" wrapText="1"/>
    </xf>
    <xf numFmtId="1" fontId="16" fillId="13" borderId="14" xfId="0" applyNumberFormat="1" applyFont="1" applyFill="1" applyBorder="1" applyAlignment="1">
      <alignment horizontal="center" vertical="center" wrapText="1"/>
    </xf>
    <xf numFmtId="0" fontId="19" fillId="18" borderId="16" xfId="0" applyFont="1" applyFill="1" applyBorder="1" applyAlignment="1">
      <alignment horizontal="center" vertical="center" wrapText="1"/>
    </xf>
    <xf numFmtId="1" fontId="19" fillId="18" borderId="16" xfId="0" applyNumberFormat="1" applyFont="1" applyFill="1" applyBorder="1" applyAlignment="1">
      <alignment horizontal="center" vertical="center" wrapText="1"/>
    </xf>
    <xf numFmtId="0" fontId="16" fillId="13" borderId="33" xfId="0" applyFont="1" applyFill="1" applyBorder="1" applyAlignment="1">
      <alignment horizontal="center" vertical="center" wrapText="1"/>
    </xf>
    <xf numFmtId="1" fontId="16" fillId="13" borderId="34" xfId="0" applyNumberFormat="1" applyFont="1" applyFill="1" applyBorder="1" applyAlignment="1">
      <alignment horizontal="center" vertical="center" wrapText="1"/>
    </xf>
    <xf numFmtId="0" fontId="19" fillId="18" borderId="21" xfId="0" applyFont="1" applyFill="1" applyBorder="1" applyAlignment="1">
      <alignment horizontal="center" vertical="center" wrapText="1"/>
    </xf>
    <xf numFmtId="1" fontId="19" fillId="18" borderId="23" xfId="0" applyNumberFormat="1" applyFont="1" applyFill="1" applyBorder="1" applyAlignment="1">
      <alignment horizontal="center" vertical="center" wrapText="1"/>
    </xf>
    <xf numFmtId="0" fontId="15" fillId="17" borderId="24" xfId="0" applyFont="1" applyFill="1" applyBorder="1" applyAlignment="1">
      <alignment horizontal="center" vertical="center" wrapText="1"/>
    </xf>
    <xf numFmtId="0" fontId="15" fillId="17" borderId="25" xfId="0" applyFont="1" applyFill="1" applyBorder="1" applyAlignment="1">
      <alignment horizontal="center" vertical="center" wrapText="1"/>
    </xf>
    <xf numFmtId="0" fontId="15" fillId="17" borderId="26" xfId="0" applyFont="1" applyFill="1" applyBorder="1" applyAlignment="1">
      <alignment horizontal="center" vertical="center" wrapText="1"/>
    </xf>
    <xf numFmtId="0" fontId="19" fillId="16" borderId="35" xfId="0" applyFont="1" applyFill="1" applyBorder="1" applyAlignment="1">
      <alignment horizontal="center" vertical="center" wrapText="1"/>
    </xf>
    <xf numFmtId="0" fontId="19" fillId="16" borderId="36" xfId="0" applyFont="1" applyFill="1" applyBorder="1" applyAlignment="1">
      <alignment horizontal="center" vertical="center" wrapText="1"/>
    </xf>
    <xf numFmtId="1" fontId="19" fillId="16" borderId="36" xfId="0" applyNumberFormat="1" applyFont="1" applyFill="1" applyBorder="1" applyAlignment="1">
      <alignment horizontal="center" vertical="center" wrapText="1"/>
    </xf>
    <xf numFmtId="1" fontId="19" fillId="16" borderId="3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3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7" fillId="0" borderId="0" xfId="2" applyFont="1" applyAlignment="1">
      <alignment horizontal="center" vertical="top" wrapText="1"/>
    </xf>
    <xf numFmtId="0" fontId="11" fillId="0" borderId="0" xfId="2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77" fontId="1" fillId="0" borderId="5" xfId="0" applyNumberFormat="1" applyFont="1" applyBorder="1" applyAlignment="1">
      <alignment horizontal="center"/>
    </xf>
    <xf numFmtId="0" fontId="1" fillId="22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3" borderId="3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77" fontId="1" fillId="3" borderId="13" xfId="0" applyNumberFormat="1" applyFont="1" applyFill="1" applyBorder="1" applyAlignment="1">
      <alignment horizontal="center"/>
    </xf>
    <xf numFmtId="177" fontId="1" fillId="3" borderId="12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24" borderId="10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9" fillId="0" borderId="0" xfId="3" applyFont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178" fontId="1" fillId="0" borderId="14" xfId="0" applyNumberFormat="1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1" fontId="19" fillId="0" borderId="14" xfId="0" applyNumberFormat="1" applyFont="1" applyBorder="1" applyAlignment="1">
      <alignment horizontal="center" vertical="center" wrapText="1"/>
    </xf>
    <xf numFmtId="1" fontId="19" fillId="0" borderId="34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14" xfId="5" applyFont="1"/>
    <xf numFmtId="0" fontId="1" fillId="0" borderId="8" xfId="5" applyFont="1" applyBorder="1" applyAlignment="1">
      <alignment horizontal="center" vertical="center"/>
    </xf>
    <xf numFmtId="0" fontId="1" fillId="10" borderId="7" xfId="5" applyFont="1" applyFill="1" applyBorder="1" applyAlignment="1">
      <alignment horizontal="center" vertical="center"/>
    </xf>
    <xf numFmtId="0" fontId="1" fillId="11" borderId="7" xfId="5" applyFont="1" applyFill="1" applyBorder="1" applyAlignment="1">
      <alignment horizontal="center" vertical="center"/>
    </xf>
    <xf numFmtId="0" fontId="1" fillId="27" borderId="7" xfId="5" applyFont="1" applyFill="1" applyBorder="1" applyAlignment="1">
      <alignment horizontal="center" vertical="center"/>
    </xf>
    <xf numFmtId="0" fontId="3" fillId="28" borderId="7" xfId="5" applyFont="1" applyFill="1" applyBorder="1" applyAlignment="1">
      <alignment horizontal="center" vertical="center"/>
    </xf>
    <xf numFmtId="0" fontId="1" fillId="0" borderId="6" xfId="5" applyFont="1" applyBorder="1" applyAlignment="1">
      <alignment horizontal="center" vertical="center"/>
    </xf>
    <xf numFmtId="0" fontId="1" fillId="0" borderId="5" xfId="5" applyFont="1" applyBorder="1" applyAlignment="1">
      <alignment horizontal="center" vertical="center"/>
    </xf>
    <xf numFmtId="0" fontId="1" fillId="0" borderId="14" xfId="5" applyFont="1" applyAlignment="1">
      <alignment horizontal="center" vertical="center"/>
    </xf>
    <xf numFmtId="0" fontId="1" fillId="0" borderId="4" xfId="5" applyFont="1" applyBorder="1" applyAlignment="1">
      <alignment horizontal="center" vertical="center"/>
    </xf>
    <xf numFmtId="0" fontId="1" fillId="0" borderId="3" xfId="5" applyFont="1" applyBorder="1" applyAlignment="1">
      <alignment horizontal="center" vertical="center"/>
    </xf>
    <xf numFmtId="0" fontId="1" fillId="0" borderId="2" xfId="5" applyFont="1" applyBorder="1" applyAlignment="1">
      <alignment horizontal="center" vertical="center"/>
    </xf>
    <xf numFmtId="0" fontId="1" fillId="0" borderId="1" xfId="5" applyFont="1" applyBorder="1" applyAlignment="1">
      <alignment horizontal="center" vertical="center"/>
    </xf>
    <xf numFmtId="0" fontId="1" fillId="0" borderId="4" xfId="5" applyFont="1" applyBorder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0" borderId="1" xfId="0" applyFont="1" applyFill="1" applyBorder="1" applyAlignment="1">
      <alignment horizontal="center" vertical="center" wrapText="1"/>
    </xf>
    <xf numFmtId="0" fontId="1" fillId="30" borderId="2" xfId="0" applyFont="1" applyFill="1" applyBorder="1" applyAlignment="1">
      <alignment horizontal="center" vertical="center" wrapText="1"/>
    </xf>
    <xf numFmtId="0" fontId="1" fillId="30" borderId="3" xfId="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3" fillId="31" borderId="2" xfId="0" applyFont="1" applyFill="1" applyBorder="1" applyAlignment="1">
      <alignment horizontal="center" vertical="center" wrapText="1"/>
    </xf>
    <xf numFmtId="0" fontId="3" fillId="31" borderId="3" xfId="0" applyFont="1" applyFill="1" applyBorder="1" applyAlignment="1">
      <alignment horizontal="center" vertical="center" wrapText="1"/>
    </xf>
    <xf numFmtId="177" fontId="1" fillId="32" borderId="3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2" borderId="11" xfId="0" applyFont="1" applyFill="1" applyBorder="1" applyAlignment="1">
      <alignment horizontal="center"/>
    </xf>
    <xf numFmtId="1" fontId="1" fillId="32" borderId="1" xfId="0" applyNumberFormat="1" applyFont="1" applyFill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30" borderId="9" xfId="0" applyFont="1" applyFill="1" applyBorder="1" applyAlignment="1">
      <alignment horizontal="center"/>
    </xf>
    <xf numFmtId="0" fontId="3" fillId="34" borderId="10" xfId="0" applyFont="1" applyFill="1" applyBorder="1" applyAlignment="1">
      <alignment horizontal="center"/>
    </xf>
    <xf numFmtId="0" fontId="3" fillId="31" borderId="9" xfId="0" applyFont="1" applyFill="1" applyBorder="1" applyAlignment="1">
      <alignment horizontal="center" vertical="center" wrapText="1"/>
    </xf>
    <xf numFmtId="0" fontId="3" fillId="31" borderId="10" xfId="0" applyFont="1" applyFill="1" applyBorder="1" applyAlignment="1">
      <alignment horizontal="center" vertical="center" wrapText="1"/>
    </xf>
    <xf numFmtId="0" fontId="3" fillId="31" borderId="11" xfId="0" applyFont="1" applyFill="1" applyBorder="1" applyAlignment="1">
      <alignment horizontal="center" vertical="center" wrapText="1"/>
    </xf>
    <xf numFmtId="0" fontId="1" fillId="30" borderId="9" xfId="0" applyFont="1" applyFill="1" applyBorder="1" applyAlignment="1">
      <alignment horizontal="center" vertical="center" wrapText="1"/>
    </xf>
    <xf numFmtId="0" fontId="1" fillId="30" borderId="10" xfId="0" applyFont="1" applyFill="1" applyBorder="1" applyAlignment="1">
      <alignment horizontal="center" vertical="center" wrapText="1"/>
    </xf>
    <xf numFmtId="0" fontId="1" fillId="30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7" fillId="12" borderId="1" xfId="0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6" fillId="33" borderId="6" xfId="0" applyFont="1" applyFill="1" applyBorder="1" applyAlignment="1">
      <alignment horizontal="center" vertical="center"/>
    </xf>
    <xf numFmtId="0" fontId="26" fillId="33" borderId="7" xfId="0" applyFont="1" applyFill="1" applyBorder="1" applyAlignment="1">
      <alignment horizontal="center" vertical="center"/>
    </xf>
    <xf numFmtId="0" fontId="26" fillId="33" borderId="8" xfId="0" applyFont="1" applyFill="1" applyBorder="1" applyAlignment="1">
      <alignment horizontal="center" vertical="center"/>
    </xf>
    <xf numFmtId="0" fontId="28" fillId="21" borderId="2" xfId="0" applyFont="1" applyFill="1" applyBorder="1" applyAlignment="1">
      <alignment horizontal="center" vertical="center" wrapText="1"/>
    </xf>
    <xf numFmtId="0" fontId="27" fillId="20" borderId="2" xfId="0" applyFont="1" applyFill="1" applyBorder="1" applyAlignment="1">
      <alignment horizontal="center" vertical="center" wrapText="1"/>
    </xf>
    <xf numFmtId="0" fontId="27" fillId="20" borderId="3" xfId="0" applyFont="1" applyFill="1" applyBorder="1" applyAlignment="1">
      <alignment horizontal="center" vertical="center" wrapText="1"/>
    </xf>
    <xf numFmtId="0" fontId="1" fillId="22" borderId="1" xfId="5" applyFont="1" applyFill="1" applyBorder="1" applyAlignment="1">
      <alignment horizontal="center" vertical="center" wrapText="1"/>
    </xf>
    <xf numFmtId="0" fontId="1" fillId="22" borderId="2" xfId="5" applyFont="1" applyFill="1" applyBorder="1" applyAlignment="1">
      <alignment horizontal="center" vertical="center" wrapText="1"/>
    </xf>
    <xf numFmtId="0" fontId="1" fillId="22" borderId="3" xfId="5" applyFont="1" applyFill="1" applyBorder="1" applyAlignment="1">
      <alignment horizontal="center" vertical="center" wrapText="1"/>
    </xf>
    <xf numFmtId="0" fontId="1" fillId="22" borderId="4" xfId="5" applyFont="1" applyFill="1" applyBorder="1" applyAlignment="1">
      <alignment horizontal="center" vertical="center" wrapText="1"/>
    </xf>
    <xf numFmtId="0" fontId="1" fillId="22" borderId="14" xfId="5" applyFont="1" applyFill="1" applyAlignment="1">
      <alignment horizontal="center" vertical="center" wrapText="1"/>
    </xf>
    <xf numFmtId="0" fontId="1" fillId="22" borderId="5" xfId="5" applyFont="1" applyFill="1" applyBorder="1" applyAlignment="1">
      <alignment horizontal="center" vertical="center" wrapText="1"/>
    </xf>
    <xf numFmtId="0" fontId="1" fillId="22" borderId="6" xfId="5" applyFont="1" applyFill="1" applyBorder="1" applyAlignment="1">
      <alignment horizontal="center" vertical="center" wrapText="1"/>
    </xf>
    <xf numFmtId="0" fontId="1" fillId="22" borderId="7" xfId="5" applyFont="1" applyFill="1" applyBorder="1" applyAlignment="1">
      <alignment horizontal="center" vertical="center" wrapText="1"/>
    </xf>
    <xf numFmtId="0" fontId="1" fillId="22" borderId="8" xfId="5" applyFont="1" applyFill="1" applyBorder="1" applyAlignment="1">
      <alignment horizontal="center" vertical="center" wrapText="1"/>
    </xf>
    <xf numFmtId="0" fontId="1" fillId="29" borderId="1" xfId="5" applyFont="1" applyFill="1" applyBorder="1" applyAlignment="1">
      <alignment horizontal="center" vertical="center" wrapText="1"/>
    </xf>
    <xf numFmtId="0" fontId="1" fillId="29" borderId="2" xfId="5" applyFont="1" applyFill="1" applyBorder="1" applyAlignment="1">
      <alignment horizontal="center" vertical="center" wrapText="1"/>
    </xf>
    <xf numFmtId="0" fontId="1" fillId="29" borderId="3" xfId="5" applyFont="1" applyFill="1" applyBorder="1" applyAlignment="1">
      <alignment horizontal="center" vertical="center" wrapText="1"/>
    </xf>
    <xf numFmtId="0" fontId="1" fillId="29" borderId="4" xfId="5" applyFont="1" applyFill="1" applyBorder="1" applyAlignment="1">
      <alignment horizontal="center" vertical="center" wrapText="1"/>
    </xf>
    <xf numFmtId="0" fontId="1" fillId="29" borderId="14" xfId="5" applyFont="1" applyFill="1" applyAlignment="1">
      <alignment horizontal="center" vertical="center" wrapText="1"/>
    </xf>
    <xf numFmtId="0" fontId="1" fillId="29" borderId="5" xfId="5" applyFont="1" applyFill="1" applyBorder="1" applyAlignment="1">
      <alignment horizontal="center" vertical="center" wrapText="1"/>
    </xf>
    <xf numFmtId="0" fontId="1" fillId="29" borderId="6" xfId="5" applyFont="1" applyFill="1" applyBorder="1" applyAlignment="1">
      <alignment horizontal="center" vertical="center" wrapText="1"/>
    </xf>
    <xf numFmtId="0" fontId="1" fillId="29" borderId="7" xfId="5" applyFont="1" applyFill="1" applyBorder="1" applyAlignment="1">
      <alignment horizontal="center" vertical="center" wrapText="1"/>
    </xf>
    <xf numFmtId="0" fontId="1" fillId="29" borderId="8" xfId="5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25" borderId="0" xfId="0" applyFont="1" applyFill="1" applyAlignment="1">
      <alignment horizontal="center" vertical="center" wrapText="1"/>
    </xf>
    <xf numFmtId="10" fontId="1" fillId="0" borderId="14" xfId="0" applyNumberFormat="1" applyFont="1" applyBorder="1" applyAlignment="1">
      <alignment horizontal="center" vertical="center" wrapText="1"/>
    </xf>
    <xf numFmtId="0" fontId="1" fillId="26" borderId="14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24" fillId="14" borderId="30" xfId="0" applyFont="1" applyFill="1" applyBorder="1" applyAlignment="1">
      <alignment horizontal="center" vertical="center" wrapText="1"/>
    </xf>
    <xf numFmtId="0" fontId="24" fillId="14" borderId="31" xfId="0" applyFont="1" applyFill="1" applyBorder="1" applyAlignment="1">
      <alignment horizontal="center" vertical="center" wrapText="1"/>
    </xf>
    <xf numFmtId="0" fontId="24" fillId="14" borderId="32" xfId="0" applyFont="1" applyFill="1" applyBorder="1" applyAlignment="1">
      <alignment horizontal="center" vertical="center" wrapText="1"/>
    </xf>
    <xf numFmtId="0" fontId="21" fillId="19" borderId="24" xfId="0" applyFont="1" applyFill="1" applyBorder="1" applyAlignment="1">
      <alignment horizontal="center" vertical="center" wrapText="1"/>
    </xf>
    <xf numFmtId="0" fontId="21" fillId="19" borderId="25" xfId="0" applyFont="1" applyFill="1" applyBorder="1" applyAlignment="1">
      <alignment horizontal="center" vertical="center" wrapText="1"/>
    </xf>
    <xf numFmtId="0" fontId="21" fillId="19" borderId="26" xfId="0" applyFont="1" applyFill="1" applyBorder="1" applyAlignment="1">
      <alignment horizontal="center" vertical="center" wrapText="1"/>
    </xf>
    <xf numFmtId="0" fontId="21" fillId="19" borderId="30" xfId="0" applyFont="1" applyFill="1" applyBorder="1" applyAlignment="1">
      <alignment horizontal="center" vertical="center" wrapText="1"/>
    </xf>
    <xf numFmtId="0" fontId="21" fillId="19" borderId="31" xfId="0" applyFont="1" applyFill="1" applyBorder="1" applyAlignment="1">
      <alignment horizontal="center" vertical="center" wrapText="1"/>
    </xf>
    <xf numFmtId="0" fontId="21" fillId="19" borderId="32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13" fillId="15" borderId="18" xfId="0" applyFont="1" applyFill="1" applyBorder="1" applyAlignment="1">
      <alignment horizontal="center" vertical="center"/>
    </xf>
    <xf numFmtId="0" fontId="13" fillId="15" borderId="19" xfId="0" applyFont="1" applyFill="1" applyBorder="1" applyAlignment="1">
      <alignment horizontal="center" vertical="center"/>
    </xf>
    <xf numFmtId="1" fontId="18" fillId="13" borderId="27" xfId="0" applyNumberFormat="1" applyFont="1" applyFill="1" applyBorder="1" applyAlignment="1">
      <alignment horizontal="center" vertical="center"/>
    </xf>
    <xf numFmtId="0" fontId="18" fillId="13" borderId="29" xfId="0" applyFont="1" applyFill="1" applyBorder="1" applyAlignment="1">
      <alignment horizontal="center" vertical="center"/>
    </xf>
    <xf numFmtId="0" fontId="17" fillId="16" borderId="24" xfId="0" applyFont="1" applyFill="1" applyBorder="1" applyAlignment="1">
      <alignment horizontal="center" vertical="center"/>
    </xf>
    <xf numFmtId="0" fontId="17" fillId="16" borderId="26" xfId="0" applyFont="1" applyFill="1" applyBorder="1" applyAlignment="1">
      <alignment horizontal="center" vertical="center"/>
    </xf>
    <xf numFmtId="0" fontId="17" fillId="16" borderId="20" xfId="0" applyFont="1" applyFill="1" applyBorder="1" applyAlignment="1">
      <alignment horizontal="center" vertical="center"/>
    </xf>
    <xf numFmtId="0" fontId="17" fillId="16" borderId="22" xfId="0" applyFont="1" applyFill="1" applyBorder="1" applyAlignment="1">
      <alignment horizontal="center" vertical="center"/>
    </xf>
    <xf numFmtId="0" fontId="17" fillId="16" borderId="25" xfId="0" applyFont="1" applyFill="1" applyBorder="1" applyAlignment="1">
      <alignment horizontal="center" vertical="center"/>
    </xf>
    <xf numFmtId="0" fontId="17" fillId="16" borderId="15" xfId="0" applyFont="1" applyFill="1" applyBorder="1" applyAlignment="1">
      <alignment horizontal="center" vertical="center"/>
    </xf>
    <xf numFmtId="1" fontId="12" fillId="13" borderId="28" xfId="0" applyNumberFormat="1" applyFont="1" applyFill="1" applyBorder="1" applyAlignment="1">
      <alignment horizontal="center" vertical="center"/>
    </xf>
    <xf numFmtId="1" fontId="12" fillId="13" borderId="29" xfId="0" applyNumberFormat="1" applyFont="1" applyFill="1" applyBorder="1" applyAlignment="1">
      <alignment horizontal="center" vertical="center"/>
    </xf>
    <xf numFmtId="1" fontId="14" fillId="13" borderId="27" xfId="0" applyNumberFormat="1" applyFont="1" applyFill="1" applyBorder="1" applyAlignment="1">
      <alignment horizontal="center" vertical="center"/>
    </xf>
    <xf numFmtId="1" fontId="14" fillId="13" borderId="28" xfId="0" applyNumberFormat="1" applyFont="1" applyFill="1" applyBorder="1" applyAlignment="1">
      <alignment horizontal="center" vertical="center"/>
    </xf>
    <xf numFmtId="1" fontId="14" fillId="13" borderId="2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 wrapText="1"/>
    </xf>
    <xf numFmtId="0" fontId="5" fillId="12" borderId="14" xfId="0" applyFont="1" applyFill="1" applyBorder="1" applyAlignment="1">
      <alignment horizontal="center" vertical="center" wrapText="1"/>
    </xf>
    <xf numFmtId="0" fontId="5" fillId="21" borderId="14" xfId="0" applyFont="1" applyFill="1" applyBorder="1" applyAlignment="1">
      <alignment horizontal="center" vertical="center" wrapText="1"/>
    </xf>
    <xf numFmtId="0" fontId="5" fillId="20" borderId="14" xfId="0" applyFont="1" applyFill="1" applyBorder="1" applyAlignment="1">
      <alignment horizontal="center" vertical="center" wrapText="1"/>
    </xf>
    <xf numFmtId="0" fontId="5" fillId="20" borderId="5" xfId="0" applyFont="1" applyFill="1" applyBorder="1" applyAlignment="1">
      <alignment horizontal="center" vertical="center" wrapText="1"/>
    </xf>
    <xf numFmtId="0" fontId="4" fillId="23" borderId="6" xfId="0" applyFont="1" applyFill="1" applyBorder="1" applyAlignment="1">
      <alignment horizontal="center" vertical="center"/>
    </xf>
    <xf numFmtId="0" fontId="4" fillId="23" borderId="7" xfId="0" applyFont="1" applyFill="1" applyBorder="1" applyAlignment="1">
      <alignment horizontal="center" vertical="center"/>
    </xf>
    <xf numFmtId="0" fontId="4" fillId="23" borderId="8" xfId="0" applyFont="1" applyFill="1" applyBorder="1" applyAlignment="1">
      <alignment horizontal="center" vertical="center"/>
    </xf>
  </cellXfs>
  <cellStyles count="8">
    <cellStyle name="Normal" xfId="2" xr:uid="{00000000-0005-0000-0000-000000000000}"/>
    <cellStyle name="Normal 2" xfId="6" xr:uid="{2C40627B-0060-4377-8A91-AFF8178D0484}"/>
    <cellStyle name="常规" xfId="0" builtinId="0"/>
    <cellStyle name="常规 2" xfId="1" xr:uid="{00000000-0005-0000-0000-000002000000}"/>
    <cellStyle name="常规 2 2" xfId="5" xr:uid="{76FFBABE-9117-4AF1-9EA3-CA10B242D942}"/>
    <cellStyle name="常规 3" xfId="3" xr:uid="{00000000-0005-0000-0000-000003000000}"/>
    <cellStyle name="常规 3 2" xfId="7" xr:uid="{89081A53-DE0B-4B56-A1DA-488106F0CF98}"/>
    <cellStyle name="常规 4" xfId="4" xr:uid="{14A84218-D7CA-4C62-A65E-8A46BB85F092}"/>
  </cellStyles>
  <dxfs count="2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D1B2E8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9999"/>
      <color rgb="FFFF8B8B"/>
      <color rgb="FFFFCCFF"/>
      <color rgb="FFB00000"/>
      <color rgb="FFD1B2E8"/>
      <color rgb="FFCC00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1345;&#30382;&#27169;&#25311;\&#25915;&#30053;&#22270;&#29983;&#25104;&#22120;\excel\260831&#39764;&#27861;&#24198;&#20856;&#25915;&#30053;.xlsx" TargetMode="External"/><Relationship Id="rId1" Type="http://schemas.openxmlformats.org/officeDocument/2006/relationships/externalLinkPath" Target="260831&#39764;&#27861;&#24198;&#20856;&#25915;&#3005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兑换列表"/>
      <sheetName val="基础计算设置"/>
      <sheetName val="魔法庆典9.8w"/>
      <sheetName val="魔法庆典9.8w钻攻略图"/>
      <sheetName val="魔法庆典4w"/>
      <sheetName val="魔法庆典4w钻攻略图"/>
    </sheetNames>
    <sheetDataSet>
      <sheetData sheetId="0" refreshError="1"/>
      <sheetData sheetId="1">
        <row r="1">
          <cell r="B1" t="str">
            <v>奇幻扭蛋币</v>
          </cell>
        </row>
        <row r="2">
          <cell r="B2" t="str">
            <v>见习魔法帽</v>
          </cell>
        </row>
        <row r="3">
          <cell r="B3" t="str">
            <v>大师魔法帽</v>
          </cell>
        </row>
        <row r="6">
          <cell r="A6" t="str">
            <v>第1档</v>
          </cell>
          <cell r="B6">
            <v>800</v>
          </cell>
          <cell r="C6">
            <v>0</v>
          </cell>
        </row>
        <row r="7">
          <cell r="C7">
            <v>2</v>
          </cell>
        </row>
        <row r="8">
          <cell r="C8">
            <v>9</v>
          </cell>
        </row>
        <row r="9">
          <cell r="C9">
            <v>45</v>
          </cell>
        </row>
        <row r="10">
          <cell r="A10" t="str">
            <v>第5档</v>
          </cell>
          <cell r="B10">
            <v>10400</v>
          </cell>
          <cell r="C10">
            <v>90</v>
          </cell>
        </row>
        <row r="13">
          <cell r="B13">
            <v>25</v>
          </cell>
        </row>
        <row r="14">
          <cell r="B14">
            <v>1</v>
          </cell>
        </row>
        <row r="17">
          <cell r="I17">
            <v>28.779220779220779</v>
          </cell>
        </row>
        <row r="18">
          <cell r="B18">
            <v>200</v>
          </cell>
          <cell r="I18">
            <v>0.89025974025974031</v>
          </cell>
        </row>
        <row r="19">
          <cell r="I19">
            <v>9.223593073593074</v>
          </cell>
        </row>
        <row r="26">
          <cell r="C26">
            <v>10.254999999999999</v>
          </cell>
          <cell r="D26">
            <v>10.254999999999999</v>
          </cell>
        </row>
        <row r="29">
          <cell r="A29">
            <v>6</v>
          </cell>
          <cell r="B29">
            <v>100</v>
          </cell>
        </row>
        <row r="36">
          <cell r="A36">
            <v>648</v>
          </cell>
          <cell r="B36">
            <v>10000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2F7E-E5DB-43D2-AFA8-F7B4E782DC2E}">
  <dimension ref="A1:J31"/>
  <sheetViews>
    <sheetView topLeftCell="A16" workbookViewId="0">
      <selection activeCell="K9" sqref="K9"/>
    </sheetView>
  </sheetViews>
  <sheetFormatPr defaultRowHeight="15.6"/>
  <cols>
    <col min="1" max="1" width="37.21875" style="96" bestFit="1" customWidth="1"/>
    <col min="2" max="2" width="11.6640625" style="96" bestFit="1" customWidth="1"/>
    <col min="3" max="3" width="14.33203125" style="96" customWidth="1"/>
    <col min="4" max="4" width="13.5546875" style="96" customWidth="1"/>
    <col min="5" max="5" width="16.109375" style="96" bestFit="1" customWidth="1"/>
    <col min="6" max="6" width="18.5546875" style="96" bestFit="1" customWidth="1"/>
    <col min="7" max="16384" width="8.88671875" style="96"/>
  </cols>
  <sheetData>
    <row r="1" spans="1:10" ht="16.2" thickTop="1">
      <c r="A1" s="108" t="s">
        <v>185</v>
      </c>
      <c r="B1" s="107" t="s">
        <v>184</v>
      </c>
      <c r="C1" s="107" t="s">
        <v>0</v>
      </c>
      <c r="D1" s="107" t="s">
        <v>183</v>
      </c>
      <c r="E1" s="107" t="s">
        <v>193</v>
      </c>
      <c r="F1" s="106" t="s">
        <v>182</v>
      </c>
      <c r="H1" s="150" t="s">
        <v>196</v>
      </c>
      <c r="I1" s="151"/>
      <c r="J1" s="152"/>
    </row>
    <row r="2" spans="1:10">
      <c r="A2" s="105" t="s">
        <v>186</v>
      </c>
      <c r="B2" s="104">
        <v>0</v>
      </c>
      <c r="C2" s="104">
        <v>0</v>
      </c>
      <c r="D2" s="104">
        <v>0</v>
      </c>
      <c r="E2" s="104">
        <v>20</v>
      </c>
      <c r="F2" s="103"/>
      <c r="H2" s="153"/>
      <c r="I2" s="154"/>
      <c r="J2" s="155"/>
    </row>
    <row r="3" spans="1:10">
      <c r="A3" s="105" t="s">
        <v>187</v>
      </c>
      <c r="B3" s="104">
        <v>0</v>
      </c>
      <c r="C3" s="104">
        <v>0</v>
      </c>
      <c r="D3" s="104">
        <v>0</v>
      </c>
      <c r="E3" s="104">
        <v>34</v>
      </c>
      <c r="F3" s="103"/>
      <c r="H3" s="153"/>
      <c r="I3" s="154"/>
      <c r="J3" s="155"/>
    </row>
    <row r="4" spans="1:10">
      <c r="A4" s="105" t="s">
        <v>190</v>
      </c>
      <c r="B4" s="104">
        <v>0</v>
      </c>
      <c r="C4" s="104">
        <v>0</v>
      </c>
      <c r="D4" s="104">
        <v>10000</v>
      </c>
      <c r="E4" s="104">
        <v>20</v>
      </c>
      <c r="F4" s="103"/>
      <c r="H4" s="153"/>
      <c r="I4" s="154"/>
      <c r="J4" s="155"/>
    </row>
    <row r="5" spans="1:10">
      <c r="A5" s="105" t="s">
        <v>191</v>
      </c>
      <c r="B5" s="104">
        <v>68</v>
      </c>
      <c r="C5" s="104">
        <v>1000</v>
      </c>
      <c r="D5" s="104">
        <v>0</v>
      </c>
      <c r="E5" s="104">
        <v>80</v>
      </c>
      <c r="F5" s="103">
        <f t="shared" ref="F5:F11" si="0">E5/C5</f>
        <v>0.08</v>
      </c>
      <c r="H5" s="153"/>
      <c r="I5" s="154"/>
      <c r="J5" s="155"/>
    </row>
    <row r="6" spans="1:10">
      <c r="A6" s="105" t="s">
        <v>195</v>
      </c>
      <c r="B6" s="104">
        <v>68</v>
      </c>
      <c r="C6" s="104">
        <v>1000</v>
      </c>
      <c r="D6" s="104">
        <v>0</v>
      </c>
      <c r="E6" s="104">
        <v>23</v>
      </c>
      <c r="F6" s="103">
        <f t="shared" si="0"/>
        <v>2.3E-2</v>
      </c>
      <c r="H6" s="153"/>
      <c r="I6" s="154"/>
      <c r="J6" s="155"/>
    </row>
    <row r="7" spans="1:10">
      <c r="A7" s="105" t="s">
        <v>194</v>
      </c>
      <c r="B7" s="104">
        <v>30</v>
      </c>
      <c r="C7" s="104">
        <v>500</v>
      </c>
      <c r="D7" s="104">
        <v>0</v>
      </c>
      <c r="E7" s="104">
        <v>10</v>
      </c>
      <c r="F7" s="103">
        <f t="shared" si="0"/>
        <v>0.02</v>
      </c>
      <c r="H7" s="153"/>
      <c r="I7" s="154"/>
      <c r="J7" s="155"/>
    </row>
    <row r="8" spans="1:10">
      <c r="A8" s="105" t="s">
        <v>188</v>
      </c>
      <c r="B8" s="104">
        <v>60</v>
      </c>
      <c r="C8" s="104">
        <v>1000</v>
      </c>
      <c r="D8" s="104">
        <v>0</v>
      </c>
      <c r="E8" s="104">
        <v>20</v>
      </c>
      <c r="F8" s="103">
        <f t="shared" si="0"/>
        <v>0.02</v>
      </c>
      <c r="H8" s="153"/>
      <c r="I8" s="154"/>
      <c r="J8" s="155"/>
    </row>
    <row r="9" spans="1:10">
      <c r="A9" s="105" t="s">
        <v>192</v>
      </c>
      <c r="B9" s="104">
        <f>68</f>
        <v>68</v>
      </c>
      <c r="C9" s="104">
        <v>1000</v>
      </c>
      <c r="D9" s="104">
        <v>0</v>
      </c>
      <c r="E9" s="104">
        <v>20</v>
      </c>
      <c r="F9" s="103">
        <f t="shared" si="0"/>
        <v>0.02</v>
      </c>
      <c r="H9" s="153"/>
      <c r="I9" s="154"/>
      <c r="J9" s="155"/>
    </row>
    <row r="10" spans="1:10">
      <c r="A10" s="105" t="s">
        <v>189</v>
      </c>
      <c r="B10" s="104">
        <f>68*2</f>
        <v>136</v>
      </c>
      <c r="C10" s="104">
        <v>2000</v>
      </c>
      <c r="D10" s="104">
        <v>0</v>
      </c>
      <c r="E10" s="104">
        <v>40</v>
      </c>
      <c r="F10" s="103">
        <f t="shared" si="0"/>
        <v>0.02</v>
      </c>
      <c r="H10" s="153"/>
      <c r="I10" s="154"/>
      <c r="J10" s="155"/>
    </row>
    <row r="11" spans="1:10">
      <c r="A11" s="105" t="s">
        <v>195</v>
      </c>
      <c r="B11" s="104">
        <v>128</v>
      </c>
      <c r="C11" s="104">
        <v>2000</v>
      </c>
      <c r="D11" s="104">
        <v>0</v>
      </c>
      <c r="E11" s="104">
        <v>35</v>
      </c>
      <c r="F11" s="103">
        <f t="shared" si="0"/>
        <v>1.7500000000000002E-2</v>
      </c>
      <c r="H11" s="153"/>
      <c r="I11" s="154"/>
      <c r="J11" s="155"/>
    </row>
    <row r="12" spans="1:10">
      <c r="A12" s="109"/>
      <c r="F12" s="103"/>
      <c r="H12" s="153"/>
      <c r="I12" s="154"/>
      <c r="J12" s="155"/>
    </row>
    <row r="13" spans="1:10">
      <c r="A13" s="105"/>
      <c r="B13" s="104"/>
      <c r="C13" s="104"/>
      <c r="D13" s="104"/>
      <c r="E13" s="104"/>
      <c r="F13" s="103"/>
      <c r="H13" s="153"/>
      <c r="I13" s="154"/>
      <c r="J13" s="155"/>
    </row>
    <row r="14" spans="1:10" ht="16.2" thickBot="1">
      <c r="A14" s="102" t="s">
        <v>1</v>
      </c>
      <c r="B14" s="101" t="str">
        <f>SUM(B2:B13)&amp;"元"</f>
        <v>558元</v>
      </c>
      <c r="C14" s="100" t="str">
        <f>SUM(C2:C11)&amp;"翡翠"</f>
        <v>8500翡翠</v>
      </c>
      <c r="D14" s="99" t="str">
        <f>SUM(D2:D11)&amp;"钻石"</f>
        <v>10000钻石</v>
      </c>
      <c r="E14" s="98" t="str">
        <f>SUM(E2:E11)&amp;"张"</f>
        <v>302张</v>
      </c>
      <c r="F14" s="97"/>
      <c r="H14" s="156"/>
      <c r="I14" s="157"/>
      <c r="J14" s="158"/>
    </row>
    <row r="15" spans="1:10" ht="16.2" thickTop="1"/>
    <row r="16" spans="1:10" ht="16.2" thickBot="1"/>
    <row r="17" spans="1:10" ht="16.2" thickTop="1">
      <c r="A17" s="108" t="s">
        <v>185</v>
      </c>
      <c r="B17" s="107" t="s">
        <v>184</v>
      </c>
      <c r="C17" s="107" t="s">
        <v>0</v>
      </c>
      <c r="D17" s="107" t="s">
        <v>183</v>
      </c>
      <c r="E17" s="107" t="s">
        <v>193</v>
      </c>
      <c r="F17" s="106" t="s">
        <v>182</v>
      </c>
      <c r="H17" s="159" t="s">
        <v>197</v>
      </c>
      <c r="I17" s="160"/>
      <c r="J17" s="161"/>
    </row>
    <row r="18" spans="1:10">
      <c r="A18" s="105" t="s">
        <v>186</v>
      </c>
      <c r="B18" s="104">
        <v>0</v>
      </c>
      <c r="C18" s="104">
        <v>0</v>
      </c>
      <c r="D18" s="104">
        <v>0</v>
      </c>
      <c r="E18" s="104">
        <v>20</v>
      </c>
      <c r="F18" s="103"/>
      <c r="H18" s="162"/>
      <c r="I18" s="163"/>
      <c r="J18" s="164"/>
    </row>
    <row r="19" spans="1:10">
      <c r="A19" s="105" t="s">
        <v>187</v>
      </c>
      <c r="B19" s="104">
        <v>0</v>
      </c>
      <c r="C19" s="104">
        <v>0</v>
      </c>
      <c r="D19" s="104">
        <v>0</v>
      </c>
      <c r="E19" s="104">
        <v>34</v>
      </c>
      <c r="F19" s="103"/>
      <c r="H19" s="162"/>
      <c r="I19" s="163"/>
      <c r="J19" s="164"/>
    </row>
    <row r="20" spans="1:10">
      <c r="A20" s="105" t="s">
        <v>190</v>
      </c>
      <c r="B20" s="104">
        <v>0</v>
      </c>
      <c r="C20" s="104">
        <v>0</v>
      </c>
      <c r="D20" s="104">
        <v>10000</v>
      </c>
      <c r="E20" s="104">
        <v>20</v>
      </c>
      <c r="F20" s="103"/>
      <c r="H20" s="162"/>
      <c r="I20" s="163"/>
      <c r="J20" s="164"/>
    </row>
    <row r="21" spans="1:10">
      <c r="A21" s="105" t="s">
        <v>191</v>
      </c>
      <c r="B21" s="104">
        <v>68</v>
      </c>
      <c r="C21" s="104">
        <v>1000</v>
      </c>
      <c r="D21" s="104">
        <v>0</v>
      </c>
      <c r="E21" s="104">
        <v>80</v>
      </c>
      <c r="F21" s="103">
        <f t="shared" ref="F21:F23" si="1">E21/C21</f>
        <v>0.08</v>
      </c>
      <c r="H21" s="162"/>
      <c r="I21" s="163"/>
      <c r="J21" s="164"/>
    </row>
    <row r="22" spans="1:10">
      <c r="A22" s="105" t="s">
        <v>195</v>
      </c>
      <c r="B22" s="104">
        <v>68</v>
      </c>
      <c r="C22" s="104">
        <v>1000</v>
      </c>
      <c r="D22" s="104">
        <v>0</v>
      </c>
      <c r="E22" s="104">
        <v>23</v>
      </c>
      <c r="F22" s="103">
        <f t="shared" si="1"/>
        <v>2.3E-2</v>
      </c>
      <c r="H22" s="162"/>
      <c r="I22" s="163"/>
      <c r="J22" s="164"/>
    </row>
    <row r="23" spans="1:10">
      <c r="A23" s="105" t="s">
        <v>194</v>
      </c>
      <c r="B23" s="104">
        <v>30</v>
      </c>
      <c r="C23" s="104">
        <v>500</v>
      </c>
      <c r="D23" s="104">
        <v>0</v>
      </c>
      <c r="E23" s="104">
        <v>10</v>
      </c>
      <c r="F23" s="103">
        <f t="shared" si="1"/>
        <v>0.02</v>
      </c>
      <c r="H23" s="162"/>
      <c r="I23" s="163"/>
      <c r="J23" s="164"/>
    </row>
    <row r="24" spans="1:10">
      <c r="A24" s="105"/>
      <c r="B24" s="104"/>
      <c r="C24" s="104"/>
      <c r="D24" s="104"/>
      <c r="E24" s="104"/>
      <c r="F24" s="103"/>
      <c r="H24" s="162"/>
      <c r="I24" s="163"/>
      <c r="J24" s="164"/>
    </row>
    <row r="25" spans="1:10">
      <c r="A25" s="105"/>
      <c r="B25" s="104"/>
      <c r="C25" s="104"/>
      <c r="D25" s="104"/>
      <c r="E25" s="104"/>
      <c r="F25" s="103"/>
      <c r="H25" s="162"/>
      <c r="I25" s="163"/>
      <c r="J25" s="164"/>
    </row>
    <row r="26" spans="1:10">
      <c r="A26" s="105"/>
      <c r="B26" s="104"/>
      <c r="C26" s="104"/>
      <c r="D26" s="104"/>
      <c r="E26" s="104"/>
      <c r="F26" s="103"/>
      <c r="H26" s="162"/>
      <c r="I26" s="163"/>
      <c r="J26" s="164"/>
    </row>
    <row r="27" spans="1:10">
      <c r="A27" s="105"/>
      <c r="B27" s="104"/>
      <c r="C27" s="104"/>
      <c r="D27" s="104"/>
      <c r="E27" s="104"/>
      <c r="F27" s="103"/>
      <c r="H27" s="162"/>
      <c r="I27" s="163"/>
      <c r="J27" s="164"/>
    </row>
    <row r="28" spans="1:10">
      <c r="F28" s="103"/>
      <c r="H28" s="162"/>
      <c r="I28" s="163"/>
      <c r="J28" s="164"/>
    </row>
    <row r="29" spans="1:10">
      <c r="A29" s="105"/>
      <c r="B29" s="104"/>
      <c r="C29" s="104"/>
      <c r="D29" s="104"/>
      <c r="E29" s="104"/>
      <c r="F29" s="103"/>
      <c r="H29" s="162"/>
      <c r="I29" s="163"/>
      <c r="J29" s="164"/>
    </row>
    <row r="30" spans="1:10" ht="16.2" thickBot="1">
      <c r="A30" s="102" t="s">
        <v>1</v>
      </c>
      <c r="B30" s="101" t="str">
        <f>SUM(B18:B29)&amp;"元"</f>
        <v>166元</v>
      </c>
      <c r="C30" s="100" t="str">
        <f>SUM(C18:C27)&amp;"翡翠"</f>
        <v>2500翡翠</v>
      </c>
      <c r="D30" s="99" t="str">
        <f>SUM(D18:D27)&amp;"钻石"</f>
        <v>10000钻石</v>
      </c>
      <c r="E30" s="98" t="str">
        <f>SUM(E18:E27)&amp;"张"</f>
        <v>187张</v>
      </c>
      <c r="F30" s="97"/>
      <c r="H30" s="165"/>
      <c r="I30" s="166"/>
      <c r="J30" s="167"/>
    </row>
    <row r="31" spans="1:10" ht="16.2" thickTop="1"/>
  </sheetData>
  <mergeCells count="2">
    <mergeCell ref="H1:J14"/>
    <mergeCell ref="H17:J30"/>
  </mergeCells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CA11-D939-46F4-B5B2-5D22CCB6744C}">
  <sheetPr codeName="Sheet1"/>
  <dimension ref="B1:L35"/>
  <sheetViews>
    <sheetView topLeftCell="A16" workbookViewId="0">
      <selection activeCell="I10" sqref="I10"/>
    </sheetView>
  </sheetViews>
  <sheetFormatPr defaultRowHeight="15.6"/>
  <cols>
    <col min="1" max="1" width="8.88671875" style="6"/>
    <col min="2" max="2" width="19.5546875" style="6" customWidth="1"/>
    <col min="3" max="3" width="26.88671875" style="6" bestFit="1" customWidth="1"/>
    <col min="4" max="4" width="9.5546875" style="6" bestFit="1" customWidth="1"/>
    <col min="5" max="5" width="17.88671875" style="6" bestFit="1" customWidth="1"/>
    <col min="6" max="6" width="10.44140625" style="6" customWidth="1"/>
    <col min="7" max="7" width="23.44140625" style="6" bestFit="1" customWidth="1"/>
    <col min="8" max="8" width="22.44140625" style="6" customWidth="1"/>
    <col min="9" max="9" width="8.88671875" style="6"/>
    <col min="10" max="10" width="22.33203125" style="6" customWidth="1"/>
    <col min="11" max="11" width="11.5546875" style="6" customWidth="1"/>
    <col min="12" max="12" width="12.33203125" style="6" customWidth="1"/>
    <col min="13" max="14" width="10" style="6" customWidth="1"/>
    <col min="15" max="16384" width="8.88671875" style="6"/>
  </cols>
  <sheetData>
    <row r="1" spans="2:12" ht="16.8" thickTop="1" thickBot="1">
      <c r="B1" s="169" t="s">
        <v>78</v>
      </c>
      <c r="C1" s="170"/>
      <c r="D1" s="170"/>
      <c r="E1" s="171"/>
      <c r="G1" s="168" t="s">
        <v>79</v>
      </c>
      <c r="H1" s="168"/>
      <c r="I1" s="168"/>
      <c r="J1" s="168"/>
    </row>
    <row r="2" spans="2:12" ht="16.8" thickTop="1" thickBot="1">
      <c r="B2" s="84" t="s">
        <v>75</v>
      </c>
      <c r="C2" s="84" t="s">
        <v>76</v>
      </c>
      <c r="D2" s="84" t="s">
        <v>77</v>
      </c>
      <c r="E2" s="85" t="s">
        <v>83</v>
      </c>
      <c r="G2" s="85" t="s">
        <v>75</v>
      </c>
      <c r="H2" s="85" t="s">
        <v>76</v>
      </c>
      <c r="I2" s="85" t="s">
        <v>77</v>
      </c>
      <c r="J2" s="85" t="s">
        <v>83</v>
      </c>
    </row>
    <row r="3" spans="2:12" ht="16.8" thickTop="1" thickBot="1">
      <c r="B3" s="84" t="s">
        <v>96</v>
      </c>
      <c r="C3" s="84" t="s">
        <v>162</v>
      </c>
      <c r="D3" s="84">
        <v>8</v>
      </c>
      <c r="E3" s="84"/>
      <c r="G3" s="84" t="s">
        <v>148</v>
      </c>
      <c r="H3" s="84" t="s">
        <v>164</v>
      </c>
      <c r="I3" s="84">
        <v>1</v>
      </c>
      <c r="J3" s="84"/>
    </row>
    <row r="4" spans="2:12" ht="16.8" thickTop="1" thickBot="1">
      <c r="B4" s="84" t="s">
        <v>150</v>
      </c>
      <c r="C4" s="84" t="s">
        <v>160</v>
      </c>
      <c r="D4" s="84">
        <v>1</v>
      </c>
      <c r="E4" s="84"/>
      <c r="G4" s="84" t="s">
        <v>119</v>
      </c>
      <c r="H4" s="84" t="s">
        <v>165</v>
      </c>
      <c r="I4" s="84">
        <v>2</v>
      </c>
      <c r="J4" s="84"/>
    </row>
    <row r="5" spans="2:12" ht="16.8" thickTop="1" thickBot="1">
      <c r="B5" s="84" t="s">
        <v>97</v>
      </c>
      <c r="C5" s="84" t="s">
        <v>161</v>
      </c>
      <c r="D5" s="84">
        <v>1</v>
      </c>
      <c r="E5" s="84"/>
      <c r="G5" s="84" t="s">
        <v>120</v>
      </c>
      <c r="H5" s="84" t="s">
        <v>121</v>
      </c>
      <c r="I5" s="84">
        <v>5</v>
      </c>
      <c r="J5" s="84"/>
    </row>
    <row r="6" spans="2:12" ht="16.8" thickTop="1" thickBot="1">
      <c r="B6" s="84" t="s">
        <v>97</v>
      </c>
      <c r="C6" s="84" t="s">
        <v>98</v>
      </c>
      <c r="D6" s="84">
        <v>1</v>
      </c>
      <c r="E6" s="84"/>
      <c r="G6" s="84" t="s">
        <v>122</v>
      </c>
      <c r="H6" s="84" t="s">
        <v>65</v>
      </c>
      <c r="I6" s="84">
        <v>5</v>
      </c>
      <c r="J6" s="84"/>
    </row>
    <row r="7" spans="2:12" ht="16.8" thickTop="1" thickBot="1">
      <c r="B7" s="84" t="s">
        <v>97</v>
      </c>
      <c r="C7" s="84" t="s">
        <v>99</v>
      </c>
      <c r="D7" s="84">
        <v>1</v>
      </c>
      <c r="E7" s="84"/>
      <c r="G7" s="84" t="s">
        <v>123</v>
      </c>
      <c r="H7" s="84" t="s">
        <v>124</v>
      </c>
      <c r="I7" s="84">
        <v>5</v>
      </c>
      <c r="J7" s="84"/>
    </row>
    <row r="8" spans="2:12" ht="16.8" thickTop="1" thickBot="1">
      <c r="B8" s="84" t="s">
        <v>97</v>
      </c>
      <c r="C8" s="84" t="s">
        <v>100</v>
      </c>
      <c r="D8" s="84">
        <v>1</v>
      </c>
      <c r="E8" s="84"/>
      <c r="G8" s="84" t="s">
        <v>125</v>
      </c>
      <c r="H8" s="84" t="s">
        <v>89</v>
      </c>
      <c r="I8" s="84">
        <v>1</v>
      </c>
      <c r="J8" s="84"/>
    </row>
    <row r="9" spans="2:12" ht="16.8" thickTop="1" thickBot="1">
      <c r="B9" s="84" t="s">
        <v>97</v>
      </c>
      <c r="C9" s="84" t="s">
        <v>101</v>
      </c>
      <c r="D9" s="84">
        <v>1</v>
      </c>
      <c r="E9" s="84"/>
      <c r="G9" s="84" t="s">
        <v>126</v>
      </c>
      <c r="H9" s="84" t="s">
        <v>127</v>
      </c>
      <c r="I9" s="84">
        <v>5</v>
      </c>
      <c r="J9" s="84"/>
    </row>
    <row r="10" spans="2:12" ht="16.8" thickTop="1" thickBot="1">
      <c r="B10" s="84" t="s">
        <v>102</v>
      </c>
      <c r="C10" s="84" t="s">
        <v>103</v>
      </c>
      <c r="D10" s="84">
        <v>5</v>
      </c>
      <c r="E10" s="84"/>
      <c r="G10" s="84" t="s">
        <v>126</v>
      </c>
      <c r="H10" s="84" t="s">
        <v>66</v>
      </c>
      <c r="I10" s="84">
        <v>1</v>
      </c>
      <c r="J10" s="84"/>
    </row>
    <row r="11" spans="2:12" ht="16.8" thickTop="1" thickBot="1">
      <c r="B11" s="84" t="s">
        <v>104</v>
      </c>
      <c r="C11" s="84" t="s">
        <v>59</v>
      </c>
      <c r="D11" s="84">
        <v>1</v>
      </c>
      <c r="E11" s="84"/>
      <c r="G11" s="84" t="s">
        <v>128</v>
      </c>
      <c r="H11" s="84" t="s">
        <v>129</v>
      </c>
      <c r="I11" s="84">
        <v>5</v>
      </c>
      <c r="J11" s="84"/>
    </row>
    <row r="12" spans="2:12" ht="16.8" thickTop="1" thickBot="1">
      <c r="B12" s="84" t="s">
        <v>105</v>
      </c>
      <c r="C12" s="84" t="s">
        <v>106</v>
      </c>
      <c r="D12" s="84">
        <v>6</v>
      </c>
      <c r="E12" s="84"/>
      <c r="G12" s="84" t="s">
        <v>130</v>
      </c>
      <c r="H12" s="84" t="s">
        <v>67</v>
      </c>
      <c r="I12" s="84">
        <v>10</v>
      </c>
      <c r="J12" s="84"/>
    </row>
    <row r="13" spans="2:12" ht="16.8" thickTop="1" thickBot="1">
      <c r="B13" s="84" t="s">
        <v>107</v>
      </c>
      <c r="C13" s="84" t="s">
        <v>108</v>
      </c>
      <c r="D13" s="84">
        <v>20</v>
      </c>
      <c r="E13" s="84"/>
      <c r="G13" s="84" t="s">
        <v>131</v>
      </c>
      <c r="H13" s="84" t="s">
        <v>132</v>
      </c>
      <c r="I13" s="84">
        <v>100</v>
      </c>
      <c r="J13" s="84"/>
    </row>
    <row r="14" spans="2:12" ht="16.8" thickTop="1" thickBot="1">
      <c r="B14" s="84" t="s">
        <v>109</v>
      </c>
      <c r="C14" s="84" t="s">
        <v>110</v>
      </c>
      <c r="D14" s="84">
        <v>5</v>
      </c>
      <c r="E14" s="84"/>
      <c r="G14" s="84" t="s">
        <v>133</v>
      </c>
      <c r="H14" s="84" t="s">
        <v>68</v>
      </c>
      <c r="I14" s="84">
        <v>5</v>
      </c>
      <c r="J14" s="84"/>
      <c r="K14" s="94"/>
      <c r="L14" s="94"/>
    </row>
    <row r="15" spans="2:12" ht="16.8" thickTop="1" thickBot="1">
      <c r="B15" s="84" t="s">
        <v>111</v>
      </c>
      <c r="C15" s="84" t="s">
        <v>60</v>
      </c>
      <c r="D15" s="84">
        <v>5</v>
      </c>
      <c r="E15" s="84"/>
      <c r="G15" s="84" t="s">
        <v>133</v>
      </c>
      <c r="H15" s="84" t="s">
        <v>69</v>
      </c>
      <c r="I15" s="84">
        <v>20</v>
      </c>
      <c r="J15" s="84"/>
      <c r="K15" s="94"/>
      <c r="L15" s="94"/>
    </row>
    <row r="16" spans="2:12" ht="16.8" thickTop="1" thickBot="1">
      <c r="B16" s="84" t="s">
        <v>112</v>
      </c>
      <c r="C16" s="84" t="s">
        <v>113</v>
      </c>
      <c r="D16" s="84">
        <v>1</v>
      </c>
      <c r="E16" s="84"/>
      <c r="G16" s="84" t="s">
        <v>134</v>
      </c>
      <c r="H16" s="84" t="s">
        <v>135</v>
      </c>
      <c r="I16" s="84">
        <v>20</v>
      </c>
      <c r="J16" s="84"/>
      <c r="K16" s="94"/>
      <c r="L16" s="94"/>
    </row>
    <row r="17" spans="2:12" ht="16.8" thickTop="1" thickBot="1">
      <c r="B17" s="84" t="s">
        <v>112</v>
      </c>
      <c r="C17" s="84" t="s">
        <v>114</v>
      </c>
      <c r="D17" s="84">
        <v>1</v>
      </c>
      <c r="E17" s="84"/>
      <c r="G17" s="84" t="s">
        <v>136</v>
      </c>
      <c r="H17" s="84" t="s">
        <v>90</v>
      </c>
      <c r="I17" s="84">
        <v>20</v>
      </c>
      <c r="J17" s="84"/>
    </row>
    <row r="18" spans="2:12" ht="32.4" thickTop="1" thickBot="1">
      <c r="B18" s="84" t="s">
        <v>115</v>
      </c>
      <c r="C18" s="84" t="s">
        <v>61</v>
      </c>
      <c r="D18" s="84">
        <v>1</v>
      </c>
      <c r="E18" s="84"/>
      <c r="G18" s="84" t="s">
        <v>137</v>
      </c>
      <c r="H18" s="84" t="s">
        <v>80</v>
      </c>
      <c r="I18" s="84">
        <v>4</v>
      </c>
      <c r="J18" s="85" t="s">
        <v>81</v>
      </c>
    </row>
    <row r="19" spans="2:12" ht="16.8" thickTop="1" thickBot="1">
      <c r="B19" s="84" t="s">
        <v>104</v>
      </c>
      <c r="C19" s="84" t="s">
        <v>62</v>
      </c>
      <c r="D19" s="84">
        <v>1</v>
      </c>
      <c r="E19" s="84"/>
      <c r="G19" s="84" t="s">
        <v>137</v>
      </c>
      <c r="H19" s="84" t="s">
        <v>70</v>
      </c>
      <c r="I19" s="84">
        <v>10</v>
      </c>
      <c r="J19" s="84"/>
      <c r="K19" s="94"/>
      <c r="L19" s="94"/>
    </row>
    <row r="20" spans="2:12" ht="16.8" thickTop="1" thickBot="1">
      <c r="B20" s="84" t="s">
        <v>116</v>
      </c>
      <c r="C20" s="84" t="s">
        <v>63</v>
      </c>
      <c r="D20" s="84">
        <v>1</v>
      </c>
      <c r="E20" s="84"/>
      <c r="G20" s="84" t="s">
        <v>137</v>
      </c>
      <c r="H20" s="84" t="s">
        <v>71</v>
      </c>
      <c r="I20" s="84">
        <v>10</v>
      </c>
      <c r="J20" s="84"/>
    </row>
    <row r="21" spans="2:12" ht="16.8" thickTop="1" thickBot="1">
      <c r="B21" s="84" t="s">
        <v>107</v>
      </c>
      <c r="C21" s="84" t="s">
        <v>117</v>
      </c>
      <c r="D21" s="84">
        <v>5</v>
      </c>
      <c r="E21" s="84"/>
      <c r="G21" s="84" t="s">
        <v>137</v>
      </c>
      <c r="H21" s="84" t="s">
        <v>72</v>
      </c>
      <c r="I21" s="84">
        <v>6</v>
      </c>
      <c r="J21" s="84"/>
    </row>
    <row r="22" spans="2:12" ht="16.8" thickTop="1" thickBot="1">
      <c r="B22" s="84" t="s">
        <v>118</v>
      </c>
      <c r="C22" s="84" t="s">
        <v>64</v>
      </c>
      <c r="D22" s="84">
        <v>4294967295</v>
      </c>
      <c r="E22" s="84"/>
      <c r="G22" s="84" t="s">
        <v>137</v>
      </c>
      <c r="H22" s="84" t="s">
        <v>73</v>
      </c>
      <c r="I22" s="84">
        <v>6</v>
      </c>
      <c r="J22" s="84"/>
      <c r="K22" s="94"/>
      <c r="L22" s="94"/>
    </row>
    <row r="23" spans="2:12" ht="32.4" thickTop="1" thickBot="1">
      <c r="B23" s="83"/>
      <c r="C23" s="83"/>
      <c r="D23" s="83"/>
      <c r="E23" s="51"/>
      <c r="G23" s="84" t="s">
        <v>138</v>
      </c>
      <c r="H23" s="84" t="s">
        <v>82</v>
      </c>
      <c r="I23" s="84">
        <v>10</v>
      </c>
      <c r="J23" s="85" t="s">
        <v>81</v>
      </c>
      <c r="K23" s="94"/>
      <c r="L23" s="94"/>
    </row>
    <row r="24" spans="2:12" ht="29.4" thickTop="1" thickBot="1">
      <c r="B24" s="83"/>
      <c r="C24" s="83"/>
      <c r="D24" s="83"/>
      <c r="E24" s="51"/>
      <c r="G24" s="84" t="s">
        <v>139</v>
      </c>
      <c r="H24" s="84" t="s">
        <v>140</v>
      </c>
      <c r="I24" s="84">
        <v>10</v>
      </c>
      <c r="J24" s="84"/>
      <c r="K24" s="94"/>
      <c r="L24" s="94"/>
    </row>
    <row r="25" spans="2:12" ht="29.4" thickTop="1" thickBot="1">
      <c r="B25" s="83"/>
      <c r="C25" s="83"/>
      <c r="D25" s="83"/>
      <c r="E25" s="51"/>
      <c r="G25" s="84" t="s">
        <v>141</v>
      </c>
      <c r="H25" s="84" t="s">
        <v>142</v>
      </c>
      <c r="I25" s="84">
        <v>10</v>
      </c>
      <c r="J25" s="84"/>
      <c r="K25" s="94"/>
      <c r="L25" s="94"/>
    </row>
    <row r="26" spans="2:12" ht="29.4" thickTop="1" thickBot="1">
      <c r="B26" s="83"/>
      <c r="C26" s="83"/>
      <c r="D26" s="83"/>
      <c r="E26" s="51"/>
      <c r="G26" s="84" t="s">
        <v>141</v>
      </c>
      <c r="H26" s="84" t="s">
        <v>64</v>
      </c>
      <c r="I26" s="84">
        <v>4294967295</v>
      </c>
      <c r="J26" s="84"/>
    </row>
    <row r="27" spans="2:12" ht="29.4" thickTop="1" thickBot="1">
      <c r="B27" s="83"/>
      <c r="C27" s="83"/>
      <c r="D27" s="83"/>
      <c r="E27" s="51"/>
      <c r="G27" s="84" t="s">
        <v>143</v>
      </c>
      <c r="H27" s="84" t="s">
        <v>74</v>
      </c>
      <c r="I27" s="84">
        <v>15</v>
      </c>
      <c r="J27" s="84"/>
    </row>
    <row r="28" spans="2:12" ht="16.8" thickTop="1" thickBot="1">
      <c r="G28" s="84" t="s">
        <v>144</v>
      </c>
      <c r="H28" s="84" t="s">
        <v>145</v>
      </c>
      <c r="I28" s="84">
        <v>200</v>
      </c>
      <c r="J28" s="84"/>
    </row>
    <row r="29" spans="2:12" ht="16.8" thickTop="1" thickBot="1">
      <c r="G29" s="84" t="s">
        <v>144</v>
      </c>
      <c r="H29" s="84" t="s">
        <v>146</v>
      </c>
      <c r="I29" s="84">
        <v>200</v>
      </c>
      <c r="J29" s="84"/>
    </row>
    <row r="30" spans="2:12" ht="16.2" thickTop="1"/>
    <row r="33" spans="11:12">
      <c r="K33" s="94"/>
      <c r="L33" s="94"/>
    </row>
    <row r="35" spans="11:12">
      <c r="K35" s="94"/>
      <c r="L35" s="94"/>
    </row>
  </sheetData>
  <mergeCells count="2">
    <mergeCell ref="G1:J1"/>
    <mergeCell ref="B1:E1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W37"/>
  <sheetViews>
    <sheetView workbookViewId="0">
      <selection activeCell="P11" sqref="P11:P14"/>
    </sheetView>
  </sheetViews>
  <sheetFormatPr defaultRowHeight="15.6"/>
  <cols>
    <col min="1" max="1" width="14.44140625" style="27" bestFit="1" customWidth="1"/>
    <col min="2" max="2" width="9.5546875" style="27" bestFit="1" customWidth="1"/>
    <col min="3" max="3" width="11.6640625" style="27" bestFit="1" customWidth="1"/>
    <col min="4" max="4" width="15.44140625" style="27" customWidth="1"/>
    <col min="5" max="5" width="7.88671875" style="27" customWidth="1"/>
    <col min="6" max="6" width="9.5546875" style="27" bestFit="1" customWidth="1"/>
    <col min="7" max="7" width="7.6640625" style="27" customWidth="1"/>
    <col min="8" max="8" width="9.5546875" style="27" bestFit="1" customWidth="1"/>
    <col min="9" max="9" width="8.6640625" style="27" bestFit="1" customWidth="1"/>
    <col min="10" max="10" width="22.88671875" style="27" customWidth="1"/>
    <col min="11" max="11" width="12.88671875" style="27" bestFit="1" customWidth="1"/>
    <col min="12" max="12" width="15" style="27" customWidth="1"/>
    <col min="13" max="14" width="7.5546875" style="27" bestFit="1" customWidth="1"/>
    <col min="15" max="15" width="10.77734375" style="27" customWidth="1"/>
    <col min="16" max="16" width="9.5546875" style="27" bestFit="1" customWidth="1"/>
    <col min="17" max="17" width="12" style="27" customWidth="1"/>
    <col min="18" max="21" width="9" style="27" customWidth="1"/>
    <col min="22" max="22" width="16" style="27" customWidth="1"/>
    <col min="23" max="23" width="14.77734375" style="27" customWidth="1"/>
    <col min="24" max="16384" width="8.88671875" style="27"/>
  </cols>
  <sheetData>
    <row r="1" spans="1:23" ht="26.4" customHeight="1" thickTop="1">
      <c r="A1" s="20" t="s">
        <v>2</v>
      </c>
      <c r="B1" s="21" t="s">
        <v>147</v>
      </c>
      <c r="F1" s="182" t="s">
        <v>87</v>
      </c>
      <c r="G1" s="182"/>
      <c r="H1" s="182"/>
      <c r="I1" s="182"/>
      <c r="J1" s="95"/>
      <c r="K1" s="95"/>
      <c r="L1" s="114" t="str">
        <f>抽奖道具&amp;"礼包"</f>
        <v>月兔券礼包</v>
      </c>
      <c r="M1" s="115" t="s">
        <v>198</v>
      </c>
      <c r="N1" s="115" t="s">
        <v>199</v>
      </c>
      <c r="O1" s="115" t="s">
        <v>200</v>
      </c>
      <c r="P1" s="115" t="str">
        <f>抽奖道具</f>
        <v>月兔券</v>
      </c>
      <c r="Q1" s="116" t="s">
        <v>201</v>
      </c>
      <c r="U1" s="29"/>
      <c r="V1" s="29"/>
      <c r="W1" s="29"/>
    </row>
    <row r="2" spans="1:23">
      <c r="A2" s="7" t="s">
        <v>3</v>
      </c>
      <c r="B2" s="26" t="s">
        <v>149</v>
      </c>
      <c r="F2" s="27" t="s">
        <v>86</v>
      </c>
      <c r="G2" s="181" t="s">
        <v>84</v>
      </c>
      <c r="H2" s="181"/>
      <c r="I2" s="27" t="s">
        <v>85</v>
      </c>
      <c r="J2" s="82" t="s">
        <v>155</v>
      </c>
      <c r="K2" s="95"/>
      <c r="L2" s="65" t="str">
        <f>抽奖道具 &amp; "礼包Ⅰ"</f>
        <v>月兔券礼包Ⅰ</v>
      </c>
      <c r="M2" s="82">
        <v>30</v>
      </c>
      <c r="N2" s="82">
        <f>IFERROR(LOOKUP(M2,价格6:价格648,翡翠100:翡翠10000),0)</f>
        <v>500</v>
      </c>
      <c r="O2" s="82">
        <v>1</v>
      </c>
      <c r="P2" s="82">
        <v>20</v>
      </c>
      <c r="Q2" s="26">
        <f>P2/N2</f>
        <v>0.04</v>
      </c>
    </row>
    <row r="3" spans="1:23" ht="16.2" thickBot="1">
      <c r="A3" s="8" t="s">
        <v>7</v>
      </c>
      <c r="B3" s="17" t="s">
        <v>151</v>
      </c>
      <c r="F3" s="27" t="s">
        <v>149</v>
      </c>
      <c r="G3" s="181" t="s">
        <v>153</v>
      </c>
      <c r="H3" s="181"/>
      <c r="I3" s="27">
        <v>55</v>
      </c>
      <c r="J3" s="95"/>
      <c r="L3" s="65" t="str">
        <f>抽奖道具 &amp; "礼包Ⅱ"</f>
        <v>月兔券礼包Ⅱ</v>
      </c>
      <c r="M3" s="82">
        <v>68</v>
      </c>
      <c r="N3" s="82">
        <f>IFERROR(LOOKUP(M3,价格6:价格648,翡翠100:翡翠10000),0)</f>
        <v>1000</v>
      </c>
      <c r="O3" s="82">
        <v>1</v>
      </c>
      <c r="P3" s="82">
        <v>30</v>
      </c>
      <c r="Q3" s="26">
        <f t="shared" ref="Q3:Q8" si="0">P3/N3</f>
        <v>0.03</v>
      </c>
      <c r="U3" s="30"/>
      <c r="V3" s="30"/>
      <c r="W3" s="30"/>
    </row>
    <row r="4" spans="1:23" ht="35.4" customHeight="1" thickTop="1" thickBot="1">
      <c r="F4" s="82" t="str">
        <f>高级兑换道具</f>
        <v>华彩兔灯</v>
      </c>
      <c r="G4" s="183" t="s">
        <v>153</v>
      </c>
      <c r="H4" s="183"/>
      <c r="I4" s="87">
        <v>0.81</v>
      </c>
      <c r="J4" s="82" t="s">
        <v>156</v>
      </c>
      <c r="L4" s="65" t="str">
        <f>抽奖道具 &amp; "礼包Ⅲ"</f>
        <v>月兔券礼包Ⅲ</v>
      </c>
      <c r="M4" s="82">
        <v>198</v>
      </c>
      <c r="N4" s="82">
        <f>IFERROR(LOOKUP(M4,价格6:价格648,翡翠100:翡翠10000),0)</f>
        <v>3000</v>
      </c>
      <c r="O4" s="82">
        <v>1</v>
      </c>
      <c r="P4" s="82">
        <v>60</v>
      </c>
      <c r="Q4" s="26">
        <f t="shared" si="0"/>
        <v>0.02</v>
      </c>
      <c r="U4" s="30"/>
    </row>
    <row r="5" spans="1:23" ht="16.2" thickTop="1">
      <c r="A5" s="22" t="s">
        <v>8</v>
      </c>
      <c r="B5" s="23" t="s">
        <v>9</v>
      </c>
      <c r="C5" s="24" t="s">
        <v>10</v>
      </c>
      <c r="F5" s="27" t="s">
        <v>91</v>
      </c>
      <c r="G5" s="181"/>
      <c r="H5" s="181"/>
      <c r="I5" s="86">
        <v>0.81</v>
      </c>
      <c r="J5" s="95"/>
      <c r="L5" s="65" t="str">
        <f>抽奖道具 &amp; "礼包Ⅳ"</f>
        <v>月兔券礼包Ⅳ</v>
      </c>
      <c r="M5" s="82">
        <v>328</v>
      </c>
      <c r="N5" s="82">
        <f>IFERROR(LOOKUP(M5,价格6:价格648,翡翠100:翡翠10000),0)</f>
        <v>5000</v>
      </c>
      <c r="O5" s="82">
        <v>1</v>
      </c>
      <c r="P5" s="82">
        <v>100</v>
      </c>
      <c r="Q5" s="26">
        <f t="shared" si="0"/>
        <v>0.02</v>
      </c>
      <c r="T5" s="30"/>
      <c r="U5" s="30"/>
    </row>
    <row r="6" spans="1:23">
      <c r="A6" s="3" t="s">
        <v>11</v>
      </c>
      <c r="B6" s="1">
        <v>800</v>
      </c>
      <c r="C6" s="4">
        <v>0</v>
      </c>
      <c r="J6" s="95"/>
      <c r="K6" s="95"/>
      <c r="L6" s="65" t="str">
        <f>抽奖道具 &amp; "礼包Ⅴ"</f>
        <v>月兔券礼包Ⅴ</v>
      </c>
      <c r="M6" s="82">
        <v>648</v>
      </c>
      <c r="N6" s="82">
        <f>IFERROR(LOOKUP(M6,价格6:价格648,翡翠100:翡翠10000),0)</f>
        <v>10000</v>
      </c>
      <c r="O6" s="82">
        <v>1</v>
      </c>
      <c r="P6" s="82">
        <v>200</v>
      </c>
      <c r="Q6" s="26">
        <f t="shared" si="0"/>
        <v>0.02</v>
      </c>
      <c r="T6" s="30"/>
      <c r="U6" s="30"/>
    </row>
    <row r="7" spans="1:23">
      <c r="A7" s="3" t="s">
        <v>12</v>
      </c>
      <c r="B7" s="1">
        <v>2900</v>
      </c>
      <c r="C7" s="4">
        <v>6</v>
      </c>
      <c r="F7" s="95"/>
      <c r="G7" s="95"/>
      <c r="H7" s="95"/>
      <c r="I7" s="95"/>
      <c r="J7" s="95"/>
      <c r="K7" s="95"/>
      <c r="L7" s="65" t="str">
        <f>抽奖道具 &amp; "礼包Ⅵ"</f>
        <v>月兔券礼包Ⅵ</v>
      </c>
      <c r="M7" s="82">
        <v>648</v>
      </c>
      <c r="N7" s="82">
        <f>IFERROR(LOOKUP(M7,价格6:价格648,翡翠100:翡翠10000),0)</f>
        <v>10000</v>
      </c>
      <c r="O7" s="82">
        <v>1</v>
      </c>
      <c r="P7" s="82">
        <v>200</v>
      </c>
      <c r="Q7" s="26">
        <f t="shared" si="0"/>
        <v>0.02</v>
      </c>
      <c r="T7" s="30"/>
      <c r="U7" s="30"/>
    </row>
    <row r="8" spans="1:23" ht="16.2" thickBot="1">
      <c r="A8" s="3" t="s">
        <v>13</v>
      </c>
      <c r="B8" s="1">
        <v>4000</v>
      </c>
      <c r="C8" s="4">
        <v>18</v>
      </c>
      <c r="F8" s="184" t="s">
        <v>154</v>
      </c>
      <c r="G8" s="184"/>
      <c r="H8" s="184"/>
      <c r="I8" s="184"/>
      <c r="J8" s="184"/>
      <c r="K8" s="95"/>
      <c r="L8" s="112" t="str">
        <f>抽奖道具 &amp; "礼包Ⅶ"</f>
        <v>月兔券礼包Ⅶ</v>
      </c>
      <c r="M8" s="113">
        <v>648</v>
      </c>
      <c r="N8" s="113">
        <f>IFERROR(LOOKUP(M8,价格6:价格648,翡翠100:翡翠10000),0)</f>
        <v>10000</v>
      </c>
      <c r="O8" s="113">
        <v>1</v>
      </c>
      <c r="P8" s="113">
        <v>200</v>
      </c>
      <c r="Q8" s="17">
        <f t="shared" si="0"/>
        <v>0.02</v>
      </c>
      <c r="T8" s="30"/>
      <c r="U8" s="30"/>
    </row>
    <row r="9" spans="1:23" ht="16.8" thickTop="1" thickBot="1">
      <c r="A9" s="3" t="s">
        <v>14</v>
      </c>
      <c r="B9" s="1">
        <v>7500</v>
      </c>
      <c r="C9" s="4">
        <v>78</v>
      </c>
      <c r="F9" s="184"/>
      <c r="G9" s="184"/>
      <c r="H9" s="184"/>
      <c r="I9" s="184"/>
      <c r="J9" s="184"/>
      <c r="K9" s="95"/>
      <c r="L9" s="95"/>
      <c r="M9" s="95"/>
      <c r="N9" s="95"/>
      <c r="O9" s="95"/>
      <c r="P9" s="95"/>
      <c r="T9" s="30"/>
      <c r="U9" s="30"/>
    </row>
    <row r="10" spans="1:23" ht="16.8" thickTop="1" thickBot="1">
      <c r="A10" s="5" t="s">
        <v>15</v>
      </c>
      <c r="B10" s="9">
        <v>12200</v>
      </c>
      <c r="C10" s="13">
        <v>153</v>
      </c>
      <c r="F10" s="184"/>
      <c r="G10" s="184"/>
      <c r="H10" s="184"/>
      <c r="I10" s="184"/>
      <c r="J10" s="184"/>
      <c r="K10" s="95"/>
      <c r="L10" s="117" t="str">
        <f>高级兑换道具&amp;"礼包"</f>
        <v>华彩兔灯礼包</v>
      </c>
      <c r="M10" s="118" t="s">
        <v>198</v>
      </c>
      <c r="N10" s="118" t="s">
        <v>199</v>
      </c>
      <c r="O10" s="118" t="s">
        <v>200</v>
      </c>
      <c r="P10" s="118" t="str">
        <f>高级兑换道具</f>
        <v>华彩兔灯</v>
      </c>
      <c r="Q10" s="119" t="s">
        <v>201</v>
      </c>
      <c r="T10" s="30"/>
      <c r="U10" s="30"/>
    </row>
    <row r="11" spans="1:23" ht="16.8" thickTop="1" thickBot="1">
      <c r="F11" s="184"/>
      <c r="G11" s="184"/>
      <c r="H11" s="184"/>
      <c r="I11" s="184"/>
      <c r="J11" s="184"/>
      <c r="K11" s="95"/>
      <c r="L11" s="65" t="str">
        <f>高级兑换道具 &amp; "礼包Ⅰ"</f>
        <v>华彩兔灯礼包Ⅰ</v>
      </c>
      <c r="M11" s="82">
        <v>68</v>
      </c>
      <c r="N11" s="82">
        <f>IFERROR(LOOKUP(M11,价格6:价格648,翡翠100:翡翠10000),0)</f>
        <v>1000</v>
      </c>
      <c r="O11" s="82">
        <v>2</v>
      </c>
      <c r="P11" s="82">
        <v>75</v>
      </c>
      <c r="Q11" s="26">
        <f>P11/N11</f>
        <v>7.4999999999999997E-2</v>
      </c>
      <c r="T11" s="30"/>
      <c r="U11" s="30"/>
    </row>
    <row r="12" spans="1:23" ht="16.2" thickTop="1">
      <c r="A12" s="178" t="s">
        <v>16</v>
      </c>
      <c r="B12" s="179"/>
      <c r="C12" s="180"/>
      <c r="F12" s="184"/>
      <c r="G12" s="184"/>
      <c r="H12" s="184"/>
      <c r="I12" s="184"/>
      <c r="J12" s="184"/>
      <c r="K12" s="95"/>
      <c r="L12" s="65" t="str">
        <f>高级兑换道具 &amp; "礼包Ⅱ"</f>
        <v>华彩兔灯礼包Ⅱ</v>
      </c>
      <c r="M12" s="82">
        <v>128</v>
      </c>
      <c r="N12" s="82">
        <f>IFERROR(LOOKUP(M12,价格6:价格648,翡翠100:翡翠10000),0)</f>
        <v>2000</v>
      </c>
      <c r="O12" s="82">
        <v>2</v>
      </c>
      <c r="P12" s="82">
        <v>150</v>
      </c>
      <c r="Q12" s="26">
        <f t="shared" ref="Q12:Q14" si="1">P12/N12</f>
        <v>7.4999999999999997E-2</v>
      </c>
      <c r="T12" s="30"/>
      <c r="U12" s="30"/>
    </row>
    <row r="13" spans="1:23">
      <c r="A13" s="3" t="str">
        <f>"获得 1 " &amp; 抽奖道具</f>
        <v>获得 1 月兔券</v>
      </c>
      <c r="B13" s="81">
        <v>20</v>
      </c>
      <c r="C13" s="4" t="s">
        <v>6</v>
      </c>
      <c r="F13" s="95"/>
      <c r="G13" s="95"/>
      <c r="H13" s="95"/>
      <c r="I13" s="95"/>
      <c r="J13" s="95"/>
      <c r="K13" s="95"/>
      <c r="L13" s="65" t="str">
        <f>高级兑换道具 &amp; "礼包Ⅲ"</f>
        <v>华彩兔灯礼包Ⅲ</v>
      </c>
      <c r="M13" s="82">
        <v>328</v>
      </c>
      <c r="N13" s="82">
        <f>IFERROR(LOOKUP(M13,价格6:价格648,翡翠100:翡翠10000),0)</f>
        <v>5000</v>
      </c>
      <c r="O13" s="82">
        <v>2</v>
      </c>
      <c r="P13" s="82">
        <v>375</v>
      </c>
      <c r="Q13" s="26">
        <f t="shared" si="1"/>
        <v>7.4999999999999997E-2</v>
      </c>
      <c r="T13" s="30"/>
      <c r="U13" s="30"/>
    </row>
    <row r="14" spans="1:23" ht="16.2" thickBot="1">
      <c r="A14" s="3" t="str">
        <f xml:space="preserve"> "1 " &amp; 高级兑换道具</f>
        <v>1 华彩兔灯</v>
      </c>
      <c r="B14" s="81">
        <v>1</v>
      </c>
      <c r="C14" s="4" t="s">
        <v>6</v>
      </c>
      <c r="E14" s="82"/>
      <c r="F14" s="95"/>
      <c r="G14" s="95"/>
      <c r="H14" s="95"/>
      <c r="I14" s="95"/>
      <c r="J14" s="95"/>
      <c r="K14" s="95"/>
      <c r="L14" s="112" t="str">
        <f>高级兑换道具 &amp; "礼包Ⅳ"</f>
        <v>华彩兔灯礼包Ⅳ</v>
      </c>
      <c r="M14" s="113">
        <v>648</v>
      </c>
      <c r="N14" s="113">
        <f>IFERROR(LOOKUP(M14,价格6:价格648,翡翠100:翡翠10000),0)</f>
        <v>10000</v>
      </c>
      <c r="O14" s="113">
        <v>2</v>
      </c>
      <c r="P14" s="113">
        <v>750</v>
      </c>
      <c r="Q14" s="17">
        <f t="shared" si="1"/>
        <v>7.4999999999999997E-2</v>
      </c>
      <c r="T14" s="30"/>
      <c r="U14" s="30"/>
    </row>
    <row r="15" spans="1:23" ht="16.8" thickTop="1" thickBot="1">
      <c r="A15" s="5"/>
      <c r="B15" s="9"/>
      <c r="C15" s="13"/>
      <c r="E15" s="82"/>
      <c r="F15" s="95"/>
      <c r="G15" s="95"/>
      <c r="H15" s="95"/>
      <c r="I15" s="95"/>
      <c r="J15" s="95"/>
      <c r="K15" s="95"/>
      <c r="L15" s="82"/>
      <c r="M15" s="82"/>
      <c r="N15" s="82"/>
      <c r="O15" s="82"/>
      <c r="P15" s="82"/>
      <c r="Q15" s="82"/>
      <c r="T15" s="30"/>
      <c r="U15" s="30"/>
    </row>
    <row r="16" spans="1:23" ht="16.8" thickTop="1" thickBot="1">
      <c r="F16" s="95"/>
      <c r="G16" s="95"/>
      <c r="H16" s="95"/>
      <c r="I16" s="95"/>
      <c r="J16" s="95"/>
      <c r="K16" s="95"/>
      <c r="L16" s="82"/>
      <c r="M16" s="82"/>
      <c r="N16" s="82"/>
      <c r="O16" s="82"/>
      <c r="P16" s="82"/>
      <c r="Q16" s="82"/>
      <c r="T16" s="30"/>
      <c r="U16" s="30"/>
    </row>
    <row r="17" spans="1:21" ht="16.2" thickTop="1">
      <c r="A17" s="172" t="s">
        <v>17</v>
      </c>
      <c r="B17" s="173"/>
      <c r="C17" s="174"/>
      <c r="F17" s="95"/>
      <c r="G17" s="95"/>
      <c r="H17" s="95"/>
      <c r="I17" s="95"/>
      <c r="J17" s="95"/>
      <c r="K17" s="95"/>
      <c r="L17" s="82"/>
      <c r="M17" s="82"/>
      <c r="N17" s="82"/>
      <c r="O17" s="82"/>
      <c r="P17" s="82"/>
      <c r="Q17" s="82"/>
      <c r="T17" s="30"/>
      <c r="U17" s="30"/>
    </row>
    <row r="18" spans="1:21">
      <c r="A18" s="3" t="str">
        <f>"1"&amp; 抽奖道具</f>
        <v>1月兔券</v>
      </c>
      <c r="B18" s="1">
        <v>150</v>
      </c>
      <c r="C18" s="4" t="s">
        <v>18</v>
      </c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T18" s="30"/>
      <c r="U18" s="30"/>
    </row>
    <row r="19" spans="1:21" ht="16.2" thickBot="1">
      <c r="A19" s="5" t="s">
        <v>19</v>
      </c>
      <c r="B19" s="9">
        <v>100</v>
      </c>
      <c r="C19" s="13" t="s">
        <v>20</v>
      </c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T19" s="30"/>
      <c r="U19" s="30"/>
    </row>
    <row r="20" spans="1:21" ht="16.8" thickTop="1" thickBot="1"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T20" s="30"/>
      <c r="U20" s="30"/>
    </row>
    <row r="21" spans="1:21" ht="16.2" thickTop="1">
      <c r="A21" s="175" t="s">
        <v>21</v>
      </c>
      <c r="B21" s="176"/>
      <c r="C21" s="176"/>
      <c r="D21" s="177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T21" s="30"/>
      <c r="U21" s="30"/>
    </row>
    <row r="22" spans="1:21">
      <c r="A22" s="3" t="s">
        <v>4</v>
      </c>
      <c r="B22" s="1" t="s">
        <v>5</v>
      </c>
      <c r="C22" s="1" t="s">
        <v>22</v>
      </c>
      <c r="D22" s="4" t="s">
        <v>23</v>
      </c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T22" s="30"/>
      <c r="U22" s="30"/>
    </row>
    <row r="23" spans="1:21">
      <c r="A23" s="3">
        <v>10</v>
      </c>
      <c r="B23" s="2">
        <v>0.95</v>
      </c>
      <c r="C23" s="1">
        <f>B23*A23</f>
        <v>9.5</v>
      </c>
      <c r="D23" s="4">
        <f>C23*积分规则2</f>
        <v>9.5</v>
      </c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T23" s="30"/>
      <c r="U23" s="30"/>
    </row>
    <row r="24" spans="1:21">
      <c r="A24" s="3">
        <v>15</v>
      </c>
      <c r="B24" s="18">
        <v>4.9000000000000002E-2</v>
      </c>
      <c r="C24" s="1">
        <f t="shared" ref="C24:C25" si="2">B24*A24</f>
        <v>0.73499999999999999</v>
      </c>
      <c r="D24" s="4">
        <f>C24*积分规则2</f>
        <v>0.73499999999999999</v>
      </c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</row>
    <row r="25" spans="1:21">
      <c r="A25" s="3">
        <v>20</v>
      </c>
      <c r="B25" s="19">
        <v>1E-3</v>
      </c>
      <c r="C25" s="1">
        <f t="shared" si="2"/>
        <v>0.02</v>
      </c>
      <c r="D25" s="4">
        <f>C25*积分规则2</f>
        <v>0.02</v>
      </c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</row>
    <row r="26" spans="1:21" ht="16.2" thickBot="1">
      <c r="A26" s="5"/>
      <c r="B26" s="11" t="s">
        <v>1</v>
      </c>
      <c r="C26" s="11">
        <f>SUM(C23:C25)</f>
        <v>10.254999999999999</v>
      </c>
      <c r="D26" s="12">
        <f>C26*积分规则2</f>
        <v>10.254999999999999</v>
      </c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</row>
    <row r="27" spans="1:21" ht="16.8" thickTop="1" thickBot="1"/>
    <row r="28" spans="1:21" ht="16.2" thickTop="1">
      <c r="A28" s="31" t="s">
        <v>24</v>
      </c>
      <c r="B28" s="32" t="s">
        <v>0</v>
      </c>
    </row>
    <row r="29" spans="1:21">
      <c r="A29" s="3">
        <v>6</v>
      </c>
      <c r="B29" s="4">
        <v>100</v>
      </c>
    </row>
    <row r="30" spans="1:21">
      <c r="A30" s="3">
        <v>30</v>
      </c>
      <c r="B30" s="4">
        <v>500</v>
      </c>
    </row>
    <row r="31" spans="1:21">
      <c r="A31" s="3">
        <v>68</v>
      </c>
      <c r="B31" s="4">
        <v>1000</v>
      </c>
    </row>
    <row r="32" spans="1:21">
      <c r="A32" s="3">
        <v>98</v>
      </c>
      <c r="B32" s="4">
        <v>1500</v>
      </c>
    </row>
    <row r="33" spans="1:2">
      <c r="A33" s="3">
        <v>128</v>
      </c>
      <c r="B33" s="4">
        <v>2000</v>
      </c>
    </row>
    <row r="34" spans="1:2">
      <c r="A34" s="3">
        <v>198</v>
      </c>
      <c r="B34" s="4">
        <v>3000</v>
      </c>
    </row>
    <row r="35" spans="1:2">
      <c r="A35" s="3">
        <v>328</v>
      </c>
      <c r="B35" s="4">
        <v>5000</v>
      </c>
    </row>
    <row r="36" spans="1:2" ht="16.2" thickBot="1">
      <c r="A36" s="5">
        <v>648</v>
      </c>
      <c r="B36" s="13">
        <v>10000</v>
      </c>
    </row>
    <row r="37" spans="1:2" ht="16.2" thickTop="1"/>
  </sheetData>
  <mergeCells count="9">
    <mergeCell ref="A17:C17"/>
    <mergeCell ref="A21:D21"/>
    <mergeCell ref="A12:C12"/>
    <mergeCell ref="G5:H5"/>
    <mergeCell ref="F1:I1"/>
    <mergeCell ref="G2:H2"/>
    <mergeCell ref="G4:H4"/>
    <mergeCell ref="G3:H3"/>
    <mergeCell ref="F8:J12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S79"/>
  <sheetViews>
    <sheetView topLeftCell="A10" workbookViewId="0">
      <selection activeCell="R37" sqref="R37"/>
    </sheetView>
  </sheetViews>
  <sheetFormatPr defaultRowHeight="15.6"/>
  <cols>
    <col min="1" max="1" width="3.77734375" style="1" customWidth="1"/>
    <col min="2" max="2" width="13.88671875" style="1" bestFit="1" customWidth="1"/>
    <col min="3" max="16" width="9.5546875" style="1" bestFit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24" thickTop="1">
      <c r="B2" s="142" t="s">
        <v>203</v>
      </c>
      <c r="C2" s="139" t="str">
        <f>SUM(C8,E8,G8,I8,K8,M8,O8)*钻石购买 &amp;"钻石"</f>
        <v>105000钻石</v>
      </c>
      <c r="D2" s="140"/>
      <c r="E2" s="140"/>
      <c r="F2" s="140"/>
      <c r="G2" s="140"/>
      <c r="H2" s="140"/>
      <c r="I2" s="147" t="str">
        <f>SUMPRODUCT(D31:D37+F31:F37+H31:H37+J31:J37+L31:L37+N31:N37+P31:P37,抽奖道具礼包价格)
+SUMPRODUCT(D38:D41+F38:F41+H38:H41+J38:J41+L38:L41+N38:N41+P38:P41,高级兑换道具礼包价格) &amp;"元"</f>
        <v>0元</v>
      </c>
      <c r="J2" s="147"/>
      <c r="K2" s="147"/>
      <c r="L2" s="147"/>
      <c r="M2" s="148" t="str">
        <f>SUMPRODUCT(D31:D37+F31:F37+H31:H37+J31:J37+L31:L37+N31:N37+P31:P37,抽奖道具礼包翡翠)
+SUMPRODUCT(D38:D41+F38:F41+H38:H41+J38:J41+L38:L41+N38:N41+P38:P41,高级兑换道具礼包翡翠) &amp; "翡翠"</f>
        <v>0翡翠</v>
      </c>
      <c r="N2" s="148"/>
      <c r="O2" s="148"/>
      <c r="P2" s="149"/>
    </row>
    <row r="3" spans="2:16" ht="19.2" customHeight="1" thickBot="1">
      <c r="B3" s="143"/>
      <c r="C3" s="144" t="str">
        <f>"最终收益："&amp;ROUNDDOWN(O29,0)&amp;B29&amp;"+"&amp;ROUNDDOWN(O28,0)&amp;B28</f>
        <v>最终收益：1468华彩兔灯+52430桃花兔灯</v>
      </c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6"/>
    </row>
    <row r="4" spans="2:16" ht="16.8" thickTop="1" thickBot="1">
      <c r="B4" s="124" t="s">
        <v>202</v>
      </c>
      <c r="C4" s="137" t="s">
        <v>25</v>
      </c>
      <c r="D4" s="138"/>
      <c r="E4" s="137" t="s">
        <v>26</v>
      </c>
      <c r="F4" s="138"/>
      <c r="G4" s="137" t="s">
        <v>27</v>
      </c>
      <c r="H4" s="138"/>
      <c r="I4" s="137" t="s">
        <v>28</v>
      </c>
      <c r="J4" s="138"/>
      <c r="K4" s="137" t="s">
        <v>29</v>
      </c>
      <c r="L4" s="138"/>
      <c r="M4" s="137" t="s">
        <v>30</v>
      </c>
      <c r="N4" s="138"/>
      <c r="O4" s="137" t="s">
        <v>31</v>
      </c>
      <c r="P4" s="138"/>
    </row>
    <row r="5" spans="2:16" ht="16.8" thickTop="1" thickBot="1">
      <c r="B5" s="15" t="s">
        <v>204</v>
      </c>
      <c r="C5" s="125" t="str">
        <f>抽奖道具</f>
        <v>月兔券</v>
      </c>
      <c r="D5" s="126" t="s">
        <v>6</v>
      </c>
      <c r="E5" s="125" t="str">
        <f>抽奖道具</f>
        <v>月兔券</v>
      </c>
      <c r="F5" s="126" t="s">
        <v>6</v>
      </c>
      <c r="G5" s="125" t="str">
        <f>抽奖道具</f>
        <v>月兔券</v>
      </c>
      <c r="H5" s="126" t="s">
        <v>6</v>
      </c>
      <c r="I5" s="125" t="str">
        <f>抽奖道具</f>
        <v>月兔券</v>
      </c>
      <c r="J5" s="126" t="s">
        <v>6</v>
      </c>
      <c r="K5" s="125" t="str">
        <f>抽奖道具</f>
        <v>月兔券</v>
      </c>
      <c r="L5" s="126" t="s">
        <v>6</v>
      </c>
      <c r="M5" s="125" t="str">
        <f>抽奖道具</f>
        <v>月兔券</v>
      </c>
      <c r="N5" s="126" t="s">
        <v>6</v>
      </c>
      <c r="O5" s="125" t="str">
        <f>抽奖道具</f>
        <v>月兔券</v>
      </c>
      <c r="P5" s="126" t="s">
        <v>6</v>
      </c>
    </row>
    <row r="6" spans="2:16" ht="16.2" thickTop="1">
      <c r="B6" s="58" t="s">
        <v>53</v>
      </c>
      <c r="C6" s="3">
        <v>5</v>
      </c>
      <c r="D6" s="4">
        <f t="shared" ref="D6:P14" si="0">C6*积分规则1</f>
        <v>100</v>
      </c>
      <c r="E6" s="3"/>
      <c r="F6" s="4">
        <f t="shared" ref="F6:F14" si="1">E6*积分规则1</f>
        <v>0</v>
      </c>
      <c r="G6" s="3"/>
      <c r="H6" s="4">
        <f t="shared" ref="H6:H14" si="2">G6*积分规则1</f>
        <v>0</v>
      </c>
      <c r="I6" s="3"/>
      <c r="J6" s="4">
        <f t="shared" ref="J6:J14" si="3">I6*积分规则1</f>
        <v>0</v>
      </c>
      <c r="K6" s="3"/>
      <c r="L6" s="4">
        <f t="shared" ref="L6:L14" si="4">K6*积分规则1</f>
        <v>0</v>
      </c>
      <c r="M6" s="3"/>
      <c r="N6" s="4">
        <f t="shared" ref="N6:N14" si="5">M6*积分规则1</f>
        <v>0</v>
      </c>
      <c r="O6" s="3"/>
      <c r="P6" s="4">
        <f t="shared" ref="P6:P14" si="6">O6*积分规则1</f>
        <v>0</v>
      </c>
    </row>
    <row r="7" spans="2:16">
      <c r="B7" s="15" t="s">
        <v>32</v>
      </c>
      <c r="C7" s="3">
        <v>43</v>
      </c>
      <c r="D7" s="4">
        <f t="shared" si="0"/>
        <v>860</v>
      </c>
      <c r="E7" s="3">
        <v>43</v>
      </c>
      <c r="F7" s="4">
        <f t="shared" si="1"/>
        <v>860</v>
      </c>
      <c r="G7" s="3">
        <v>43</v>
      </c>
      <c r="H7" s="4">
        <f t="shared" si="2"/>
        <v>860</v>
      </c>
      <c r="I7" s="3">
        <v>43</v>
      </c>
      <c r="J7" s="4">
        <f t="shared" si="3"/>
        <v>860</v>
      </c>
      <c r="K7" s="3">
        <v>43</v>
      </c>
      <c r="L7" s="4">
        <f t="shared" si="4"/>
        <v>860</v>
      </c>
      <c r="M7" s="3">
        <v>43</v>
      </c>
      <c r="N7" s="4">
        <f t="shared" si="5"/>
        <v>860</v>
      </c>
      <c r="O7" s="3">
        <v>43</v>
      </c>
      <c r="P7" s="4">
        <f t="shared" si="6"/>
        <v>860</v>
      </c>
    </row>
    <row r="8" spans="2:16">
      <c r="B8" s="16" t="s">
        <v>17</v>
      </c>
      <c r="C8" s="3">
        <v>100</v>
      </c>
      <c r="D8" s="4">
        <f t="shared" si="0"/>
        <v>2000</v>
      </c>
      <c r="E8" s="3">
        <v>100</v>
      </c>
      <c r="F8" s="4">
        <f t="shared" si="1"/>
        <v>2000</v>
      </c>
      <c r="G8" s="3">
        <v>100</v>
      </c>
      <c r="H8" s="4">
        <f t="shared" si="2"/>
        <v>2000</v>
      </c>
      <c r="I8" s="3">
        <v>100</v>
      </c>
      <c r="J8" s="4">
        <f t="shared" si="3"/>
        <v>2000</v>
      </c>
      <c r="K8" s="3">
        <v>100</v>
      </c>
      <c r="L8" s="4">
        <f t="shared" si="4"/>
        <v>2000</v>
      </c>
      <c r="M8" s="3">
        <v>100</v>
      </c>
      <c r="N8" s="4">
        <f t="shared" si="5"/>
        <v>2000</v>
      </c>
      <c r="O8" s="3">
        <v>100</v>
      </c>
      <c r="P8" s="4">
        <f t="shared" si="6"/>
        <v>2000</v>
      </c>
    </row>
    <row r="9" spans="2:16">
      <c r="B9" s="80" t="s">
        <v>49</v>
      </c>
      <c r="C9" s="3"/>
      <c r="D9" s="4">
        <f t="shared" si="0"/>
        <v>0</v>
      </c>
      <c r="E9" s="3"/>
      <c r="F9" s="4">
        <f t="shared" si="1"/>
        <v>0</v>
      </c>
      <c r="G9" s="3"/>
      <c r="H9" s="4">
        <f t="shared" si="2"/>
        <v>0</v>
      </c>
      <c r="I9" s="3">
        <v>0</v>
      </c>
      <c r="J9" s="4">
        <f t="shared" si="3"/>
        <v>0</v>
      </c>
      <c r="K9" s="3">
        <v>0</v>
      </c>
      <c r="L9" s="4">
        <f t="shared" si="4"/>
        <v>0</v>
      </c>
      <c r="M9" s="3">
        <v>0</v>
      </c>
      <c r="N9" s="4">
        <f t="shared" si="5"/>
        <v>0</v>
      </c>
      <c r="O9" s="3">
        <v>0</v>
      </c>
      <c r="P9" s="4">
        <f t="shared" si="6"/>
        <v>0</v>
      </c>
    </row>
    <row r="10" spans="2:16">
      <c r="B10" s="15" t="s">
        <v>50</v>
      </c>
      <c r="C10" s="3"/>
      <c r="D10" s="4">
        <f t="shared" si="0"/>
        <v>0</v>
      </c>
      <c r="E10" s="3"/>
      <c r="F10" s="4">
        <f t="shared" si="1"/>
        <v>0</v>
      </c>
      <c r="G10" s="3"/>
      <c r="H10" s="4">
        <f t="shared" si="2"/>
        <v>0</v>
      </c>
      <c r="I10" s="3"/>
      <c r="J10" s="4">
        <f t="shared" si="3"/>
        <v>0</v>
      </c>
      <c r="K10" s="3"/>
      <c r="L10" s="4">
        <f t="shared" si="4"/>
        <v>0</v>
      </c>
      <c r="M10" s="3"/>
      <c r="N10" s="4">
        <f t="shared" si="5"/>
        <v>0</v>
      </c>
      <c r="O10" s="3"/>
      <c r="P10" s="4">
        <f t="shared" si="6"/>
        <v>0</v>
      </c>
    </row>
    <row r="11" spans="2:16">
      <c r="B11" s="15" t="s">
        <v>58</v>
      </c>
      <c r="C11" s="3">
        <v>0</v>
      </c>
      <c r="D11" s="4">
        <f t="shared" si="0"/>
        <v>0</v>
      </c>
      <c r="E11" s="3">
        <v>0</v>
      </c>
      <c r="F11" s="4">
        <f t="shared" si="0"/>
        <v>0</v>
      </c>
      <c r="G11" s="3">
        <v>0</v>
      </c>
      <c r="H11" s="4">
        <f t="shared" si="0"/>
        <v>0</v>
      </c>
      <c r="I11" s="3">
        <v>0</v>
      </c>
      <c r="J11" s="4">
        <f t="shared" si="0"/>
        <v>0</v>
      </c>
      <c r="K11" s="3">
        <v>0</v>
      </c>
      <c r="L11" s="4">
        <f t="shared" si="0"/>
        <v>0</v>
      </c>
      <c r="M11" s="3">
        <v>0</v>
      </c>
      <c r="N11" s="4">
        <f t="shared" si="0"/>
        <v>0</v>
      </c>
      <c r="O11" s="3">
        <v>0</v>
      </c>
      <c r="P11" s="4">
        <f t="shared" si="0"/>
        <v>0</v>
      </c>
    </row>
    <row r="12" spans="2:16" ht="16.2" thickBot="1">
      <c r="B12" s="59" t="s">
        <v>92</v>
      </c>
      <c r="C12" s="3">
        <v>0</v>
      </c>
      <c r="D12" s="4">
        <f>C12*积分规则1</f>
        <v>0</v>
      </c>
      <c r="E12" s="3">
        <v>0</v>
      </c>
      <c r="F12" s="4">
        <f>E12*积分规则1</f>
        <v>0</v>
      </c>
      <c r="G12" s="3">
        <v>0</v>
      </c>
      <c r="H12" s="4">
        <f>G12*积分规则1</f>
        <v>0</v>
      </c>
      <c r="I12" s="3">
        <v>0</v>
      </c>
      <c r="J12" s="4">
        <f>I12*积分规则1</f>
        <v>0</v>
      </c>
      <c r="K12" s="3">
        <v>0</v>
      </c>
      <c r="L12" s="4">
        <f>K12*积分规则1</f>
        <v>0</v>
      </c>
      <c r="M12" s="3">
        <v>0</v>
      </c>
      <c r="N12" s="4">
        <f>M12*积分规则1</f>
        <v>0</v>
      </c>
      <c r="O12" s="3">
        <v>0</v>
      </c>
      <c r="P12" s="4">
        <f>O12*积分规则1</f>
        <v>0</v>
      </c>
    </row>
    <row r="13" spans="2:16" ht="16.2" thickTop="1">
      <c r="B13" s="127" t="s">
        <v>51</v>
      </c>
      <c r="C13" s="3">
        <f>SUMPRODUCT(D31:D37,抽奖道具礼包道具数)</f>
        <v>0</v>
      </c>
      <c r="D13" s="4">
        <f t="shared" si="0"/>
        <v>0</v>
      </c>
      <c r="E13" s="3">
        <f>SUM(F31*抽奖道具礼包1,F32*抽奖道具礼包2,F33*抽奖道具礼包3,F34*抽奖道具礼包4,F35*抽奖道具礼包5,F36*抽奖道具礼包6,F37*抽奖道具礼包7)</f>
        <v>0</v>
      </c>
      <c r="F13" s="4">
        <f t="shared" si="1"/>
        <v>0</v>
      </c>
      <c r="G13" s="3">
        <f>SUM(H31*抽奖道具礼包1,H32*抽奖道具礼包2,H33*抽奖道具礼包3,H34*抽奖道具礼包4,H35*抽奖道具礼包5,H36*抽奖道具礼包6,H37*抽奖道具礼包7)</f>
        <v>0</v>
      </c>
      <c r="H13" s="4">
        <f t="shared" si="2"/>
        <v>0</v>
      </c>
      <c r="I13" s="3">
        <f>SUM(J31*抽奖道具礼包1,J32*抽奖道具礼包2,J33*抽奖道具礼包3,J34*抽奖道具礼包4,J35*抽奖道具礼包5,J36*抽奖道具礼包6,J37*抽奖道具礼包7)</f>
        <v>0</v>
      </c>
      <c r="J13" s="4">
        <f t="shared" si="3"/>
        <v>0</v>
      </c>
      <c r="K13" s="3">
        <f>SUM(L31*抽奖道具礼包1,L32*抽奖道具礼包2,L33*抽奖道具礼包3,L34*抽奖道具礼包4,L35*抽奖道具礼包5,L36*抽奖道具礼包6,L37*抽奖道具礼包7)</f>
        <v>0</v>
      </c>
      <c r="L13" s="4">
        <f t="shared" si="4"/>
        <v>0</v>
      </c>
      <c r="M13" s="3">
        <f>SUM(N31*抽奖道具礼包1,N32*抽奖道具礼包2,N33*抽奖道具礼包3,N34*抽奖道具礼包4,N35*抽奖道具礼包5,N36*抽奖道具礼包6,N37*抽奖道具礼包7)</f>
        <v>0</v>
      </c>
      <c r="N13" s="4">
        <f t="shared" si="5"/>
        <v>0</v>
      </c>
      <c r="O13" s="3">
        <f>SUM(P31*抽奖道具礼包1,P32*抽奖道具礼包2,P33*抽奖道具礼包3,P34*抽奖道具礼包4,P35*抽奖道具礼包5,P36*抽奖道具礼包6,P37*抽奖道具礼包7)</f>
        <v>0</v>
      </c>
      <c r="P13" s="4">
        <f t="shared" si="6"/>
        <v>0</v>
      </c>
    </row>
    <row r="14" spans="2:16" ht="16.2" thickBot="1">
      <c r="B14" s="61" t="s">
        <v>52</v>
      </c>
      <c r="C14" s="3"/>
      <c r="D14" s="4">
        <f t="shared" si="0"/>
        <v>0</v>
      </c>
      <c r="E14" s="3"/>
      <c r="F14" s="4">
        <f t="shared" si="1"/>
        <v>0</v>
      </c>
      <c r="G14" s="3"/>
      <c r="H14" s="4">
        <f t="shared" si="2"/>
        <v>0</v>
      </c>
      <c r="I14" s="3"/>
      <c r="J14" s="4">
        <f t="shared" si="3"/>
        <v>0</v>
      </c>
      <c r="K14" s="3"/>
      <c r="L14" s="4">
        <f t="shared" si="4"/>
        <v>0</v>
      </c>
      <c r="M14" s="3"/>
      <c r="N14" s="4">
        <f t="shared" si="5"/>
        <v>0</v>
      </c>
      <c r="O14" s="3"/>
      <c r="P14" s="4">
        <f t="shared" si="6"/>
        <v>0</v>
      </c>
    </row>
    <row r="15" spans="2:16" ht="16.2" thickTop="1">
      <c r="B15" s="69" t="str">
        <f>"使用"&amp;抽奖道具</f>
        <v>使用月兔券</v>
      </c>
      <c r="C15" s="3">
        <v>0</v>
      </c>
      <c r="D15" s="4">
        <f>C15*积分规则3</f>
        <v>0</v>
      </c>
      <c r="E15" s="3">
        <v>50</v>
      </c>
      <c r="F15" s="4">
        <f>E15*积分规则3</f>
        <v>40.5</v>
      </c>
      <c r="G15" s="3">
        <v>50</v>
      </c>
      <c r="H15" s="4">
        <f>G15*积分规则3</f>
        <v>40.5</v>
      </c>
      <c r="I15" s="3">
        <v>50</v>
      </c>
      <c r="J15" s="4">
        <f>I15*积分规则3</f>
        <v>40.5</v>
      </c>
      <c r="K15" s="3">
        <v>50</v>
      </c>
      <c r="L15" s="4">
        <f>K15*积分规则3</f>
        <v>40.5</v>
      </c>
      <c r="M15" s="3">
        <v>50</v>
      </c>
      <c r="N15" s="4">
        <f>M15*积分规则3</f>
        <v>40.5</v>
      </c>
      <c r="O15" s="3">
        <v>756</v>
      </c>
      <c r="P15" s="4">
        <f>O15*积分规则3</f>
        <v>612.36</v>
      </c>
    </row>
    <row r="16" spans="2:16" ht="16.2" thickBot="1">
      <c r="B16" s="62" t="str">
        <f>"剩余"&amp;抽奖道具</f>
        <v>剩余月兔券</v>
      </c>
      <c r="C16" s="3">
        <f>C25-C15</f>
        <v>148</v>
      </c>
      <c r="D16" s="4"/>
      <c r="E16" s="3">
        <f>C16+SUM(E6:E14)-E15</f>
        <v>241</v>
      </c>
      <c r="F16" s="4"/>
      <c r="G16" s="3">
        <f>E16+SUM(G6:G14)-G15</f>
        <v>334</v>
      </c>
      <c r="H16" s="4"/>
      <c r="I16" s="3">
        <f>G16+SUM(I6:I14)-I15</f>
        <v>427</v>
      </c>
      <c r="J16" s="4"/>
      <c r="K16" s="3">
        <f>I16+SUM(K6:K14)-K15</f>
        <v>520</v>
      </c>
      <c r="L16" s="4"/>
      <c r="M16" s="3">
        <f>K16+SUM(M6:M14)-M15</f>
        <v>613</v>
      </c>
      <c r="N16" s="4"/>
      <c r="O16" s="3">
        <f>M16+SUM(O6:O14)-O15</f>
        <v>0</v>
      </c>
      <c r="P16" s="4"/>
    </row>
    <row r="17" spans="2:16" ht="16.2" thickTop="1">
      <c r="B17" s="63" t="s">
        <v>33</v>
      </c>
      <c r="C17" s="3">
        <v>0</v>
      </c>
      <c r="D17" s="4">
        <f>C17*随机箱积分</f>
        <v>0</v>
      </c>
      <c r="E17" s="3">
        <v>0</v>
      </c>
      <c r="F17" s="4">
        <f>E17*随机箱积分</f>
        <v>0</v>
      </c>
      <c r="G17" s="3">
        <v>0</v>
      </c>
      <c r="H17" s="4">
        <f>G17*随机箱积分</f>
        <v>0</v>
      </c>
      <c r="I17" s="3">
        <v>0</v>
      </c>
      <c r="J17" s="4">
        <f>I17*随机箱积分</f>
        <v>0</v>
      </c>
      <c r="K17" s="3">
        <v>0</v>
      </c>
      <c r="L17" s="4">
        <f>K17*随机箱积分</f>
        <v>0</v>
      </c>
      <c r="M17" s="3">
        <v>0</v>
      </c>
      <c r="N17" s="4">
        <f>M17*随机箱积分</f>
        <v>0</v>
      </c>
      <c r="O17" s="3">
        <v>54</v>
      </c>
      <c r="P17" s="68">
        <f>O17*随机箱积分</f>
        <v>553.77</v>
      </c>
    </row>
    <row r="18" spans="2:16" ht="16.2" thickBot="1">
      <c r="B18" s="62" t="s">
        <v>34</v>
      </c>
      <c r="C18" s="3">
        <f>C27-SUM(C17)</f>
        <v>6</v>
      </c>
      <c r="D18" s="4"/>
      <c r="E18" s="3">
        <f>E27-SUM(C17,E17)</f>
        <v>12</v>
      </c>
      <c r="F18" s="4"/>
      <c r="G18" s="3">
        <f>G27-SUM(C17,E17,G17)</f>
        <v>18</v>
      </c>
      <c r="H18" s="4"/>
      <c r="I18" s="3">
        <f>I27-SUM(C17,E17,G17,I17)</f>
        <v>24</v>
      </c>
      <c r="J18" s="4"/>
      <c r="K18" s="3">
        <f>K27-SUM(C17,E17,G17,I17,K17)</f>
        <v>30</v>
      </c>
      <c r="L18" s="4"/>
      <c r="M18" s="3">
        <f>M27-SUM(C17,E17,G17,I17,K17,M17)</f>
        <v>36</v>
      </c>
      <c r="N18" s="4"/>
      <c r="O18" s="3">
        <f>O27-SUM(C17,E17,G17,I17,K17,M17,O17)</f>
        <v>0</v>
      </c>
      <c r="P18" s="4"/>
    </row>
    <row r="19" spans="2:16" ht="16.2" thickTop="1">
      <c r="B19" s="64" t="str">
        <f xml:space="preserve"> "兑换"&amp; 高级兑换道具</f>
        <v>兑换华彩兔灯</v>
      </c>
      <c r="C19" s="3">
        <v>0</v>
      </c>
      <c r="D19" s="4">
        <f>C19*积分规则2</f>
        <v>0</v>
      </c>
      <c r="E19" s="3">
        <v>0</v>
      </c>
      <c r="F19" s="4">
        <f>E19*积分规则2</f>
        <v>0</v>
      </c>
      <c r="G19" s="3">
        <v>0</v>
      </c>
      <c r="H19" s="4">
        <f>G19*积分规则2</f>
        <v>0</v>
      </c>
      <c r="I19" s="3">
        <v>0</v>
      </c>
      <c r="J19" s="4">
        <f>I19*积分规则2</f>
        <v>0</v>
      </c>
      <c r="K19" s="3">
        <v>0</v>
      </c>
      <c r="L19" s="4">
        <f>K19*积分规则2</f>
        <v>0</v>
      </c>
      <c r="M19" s="3">
        <v>0</v>
      </c>
      <c r="N19" s="4">
        <f>M19*积分规则2</f>
        <v>0</v>
      </c>
      <c r="O19" s="3">
        <v>100</v>
      </c>
      <c r="P19" s="4">
        <f>O19*积分规则2</f>
        <v>100</v>
      </c>
    </row>
    <row r="20" spans="2:16">
      <c r="B20" s="128" t="str">
        <f xml:space="preserve"> "氪金"&amp;高级兑换道具</f>
        <v>氪金华彩兔灯</v>
      </c>
      <c r="C20" s="3">
        <f>SUMPRODUCT(D38:D41,高级兑换道具礼包道具数)</f>
        <v>0</v>
      </c>
      <c r="D20" s="4">
        <f>C20*积分规则2</f>
        <v>0</v>
      </c>
      <c r="E20" s="3">
        <f>SUM(F38*高级兑换道具礼包1,F39*高级兑换道具礼包2,F40*高级兑换道具礼包3,F41*高级兑换道具礼包4)</f>
        <v>0</v>
      </c>
      <c r="F20" s="4">
        <f>E20*积分规则2</f>
        <v>0</v>
      </c>
      <c r="G20" s="3">
        <f>SUM(H38*高级兑换道具礼包1,H39*高级兑换道具礼包2,H40*高级兑换道具礼包3,H41*高级兑换道具礼包4)</f>
        <v>0</v>
      </c>
      <c r="H20" s="4">
        <f>G20*积分规则2</f>
        <v>0</v>
      </c>
      <c r="I20" s="3">
        <f>SUM(J38*高级兑换道具礼包1,J39*高级兑换道具礼包2,J40*高级兑换道具礼包3,J41*高级兑换道具礼包4)</f>
        <v>0</v>
      </c>
      <c r="J20" s="4">
        <f>I20*积分规则2</f>
        <v>0</v>
      </c>
      <c r="K20" s="3">
        <f>SUM(L38*高级兑换道具礼包1,L39*高级兑换道具礼包2,L40*高级兑换道具礼包3,L41*高级兑换道具礼包4)</f>
        <v>0</v>
      </c>
      <c r="L20" s="4">
        <f>K20*积分规则2</f>
        <v>0</v>
      </c>
      <c r="M20" s="3">
        <f>SUM(N38*高级兑换道具礼包1,N39*高级兑换道具礼包2,N40*高级兑换道具礼包3,N41*高级兑换道具礼包4)</f>
        <v>0</v>
      </c>
      <c r="N20" s="4">
        <f>M20*积分规则2</f>
        <v>0</v>
      </c>
      <c r="O20" s="3">
        <f>SUM(P38*高级兑换道具礼包1,P39*高级兑换道具礼包2,P40*高级兑换道具礼包3,P41*高级兑换道具礼包4)</f>
        <v>0</v>
      </c>
      <c r="P20" s="4">
        <f>O20*积分规则2</f>
        <v>0</v>
      </c>
    </row>
    <row r="21" spans="2:16" ht="16.2" thickBot="1">
      <c r="B21" s="15" t="s">
        <v>54</v>
      </c>
      <c r="C21" s="3"/>
      <c r="D21" s="4"/>
      <c r="E21" s="3"/>
      <c r="F21" s="4"/>
      <c r="G21" s="3"/>
      <c r="H21" s="4"/>
      <c r="I21" s="3"/>
      <c r="J21" s="4"/>
      <c r="K21" s="3"/>
      <c r="L21" s="4"/>
      <c r="M21" s="3"/>
      <c r="N21" s="4"/>
      <c r="O21" s="3"/>
      <c r="P21" s="4"/>
    </row>
    <row r="22" spans="2:16" ht="16.8" thickTop="1" thickBot="1">
      <c r="B22" s="121" t="s">
        <v>216</v>
      </c>
      <c r="C22" s="72" t="str">
        <f>IFERROR(LOOKUP(D22,档位积分1:档位积分5,第1档:第5档),"无奖励")</f>
        <v>第2档</v>
      </c>
      <c r="D22" s="73">
        <f>SUM(D6:D15)+D17+SUM(D19:D21)</f>
        <v>2960</v>
      </c>
      <c r="E22" s="74" t="str">
        <f>IFERROR(LOOKUP(F22,档位积分1:档位积分5,第1档:第5档),"无奖励")</f>
        <v>第2档</v>
      </c>
      <c r="F22" s="73">
        <f>SUM(F6:F15)+F17+SUM(F19:F21)</f>
        <v>2900.5</v>
      </c>
      <c r="G22" s="74" t="str">
        <f>IFERROR(LOOKUP(H22,档位积分1:档位积分5,第1档:第5档),"无奖励")</f>
        <v>第2档</v>
      </c>
      <c r="H22" s="73">
        <f>SUM(H6:H15)+H17+SUM(H19:H21)</f>
        <v>2900.5</v>
      </c>
      <c r="I22" s="74" t="str">
        <f>IFERROR(LOOKUP(J22,档位积分1:档位积分5,第1档:第5档),"无奖励")</f>
        <v>第2档</v>
      </c>
      <c r="J22" s="73">
        <f>SUM(J6:J15)+J17+SUM(J19:J21)</f>
        <v>2900.5</v>
      </c>
      <c r="K22" s="74" t="str">
        <f>IFERROR(LOOKUP(L22,档位积分1:档位积分5,第1档:第5档),"无奖励")</f>
        <v>第2档</v>
      </c>
      <c r="L22" s="73">
        <f>SUM(L6:L15)+L17+SUM(L19:L21)</f>
        <v>2900.5</v>
      </c>
      <c r="M22" s="74" t="str">
        <f>IFERROR(LOOKUP(N22,档位积分1:档位积分5,第1档:第5档),"无奖励")</f>
        <v>第2档</v>
      </c>
      <c r="N22" s="73">
        <f>SUM(N6:N15)+N17+SUM(N19:N21)</f>
        <v>2900.5</v>
      </c>
      <c r="O22" s="74" t="str">
        <f>IFERROR(LOOKUP(P22,档位积分1:档位积分5,第1档:第5档),"无奖励")</f>
        <v>第3档</v>
      </c>
      <c r="P22" s="73">
        <f>SUM(P6:P15)+P17+SUM(P19:P21)</f>
        <v>4126.13</v>
      </c>
    </row>
    <row r="23" spans="2:16" ht="16.8" thickTop="1" thickBot="1">
      <c r="B23" s="15" t="s">
        <v>217</v>
      </c>
      <c r="C23" s="56">
        <f>IF(C22="无奖励", "",
   INDEX(档位积分1:档位积分5, MATCH(D22, 档位积分1:档位积分5, 1)))</f>
        <v>2900</v>
      </c>
      <c r="D23" s="79">
        <f>IF(D22&gt;=MAX(档位积分1:档位积分5), "",
   IF(D22&lt;MIN(档位积分1:档位积分5), MIN(档位积分1:档位积分5),
      INDEX(档位积分1:档位积分5, MATCH(D22, 档位积分1:档位积分5, 1)+1)))</f>
        <v>4000</v>
      </c>
      <c r="E23" s="56">
        <f>IF(E22="无奖励", "",
   INDEX(档位积分1:档位积分5, MATCH(F22, 档位积分1:档位积分5, 1)))</f>
        <v>2900</v>
      </c>
      <c r="F23" s="79">
        <f>IF(F22&gt;=MAX(档位积分1:档位积分5), "",
   IF(F22&lt;MIN(档位积分1:档位积分5), MIN(档位积分1:档位积分5),
      INDEX(档位积分1:档位积分5, MATCH(F22, 档位积分1:档位积分5, 1)+1)))</f>
        <v>4000</v>
      </c>
      <c r="G23" s="56">
        <f>IF(G22="无奖励", "",
   INDEX(档位积分1:档位积分5, MATCH(H22, 档位积分1:档位积分5, 1)))</f>
        <v>2900</v>
      </c>
      <c r="H23" s="79">
        <f>IF(H22&gt;=MAX(档位积分1:档位积分5), "",
   IF(H22&lt;MIN(档位积分1:档位积分5), MIN(档位积分1:档位积分5),
      INDEX(档位积分1:档位积分5, MATCH(H22, 档位积分1:档位积分5, 1)+1)))</f>
        <v>4000</v>
      </c>
      <c r="I23" s="56">
        <f>IF(I22="无奖励", "",
   INDEX(档位积分1:档位积分5, MATCH(J22, 档位积分1:档位积分5, 1)))</f>
        <v>2900</v>
      </c>
      <c r="J23" s="79">
        <f>IF(J22&gt;=MAX(档位积分1:档位积分5), "",
   IF(J22&lt;MIN(档位积分1:档位积分5), MIN(档位积分1:档位积分5),
      INDEX(档位积分1:档位积分5, MATCH(J22, 档位积分1:档位积分5, 1)+1)))</f>
        <v>4000</v>
      </c>
      <c r="K23" s="56">
        <f>IF(K22="无奖励", "",
   INDEX(档位积分1:档位积分5, MATCH(L22, 档位积分1:档位积分5, 1)))</f>
        <v>2900</v>
      </c>
      <c r="L23" s="79">
        <f>IF(L22&gt;=MAX(档位积分1:档位积分5), "",
   IF(L22&lt;MIN(档位积分1:档位积分5), MIN(档位积分1:档位积分5),
      INDEX(档位积分1:档位积分5, MATCH(L22, 档位积分1:档位积分5, 1)+1)))</f>
        <v>4000</v>
      </c>
      <c r="M23" s="56">
        <f>IF(M22="无奖励", "",
   INDEX(档位积分1:档位积分5, MATCH(N22, 档位积分1:档位积分5, 1)))</f>
        <v>2900</v>
      </c>
      <c r="N23" s="79">
        <f>IF(N22&gt;=MAX(档位积分1:档位积分5), "",
   IF(N22&lt;MIN(档位积分1:档位积分5), MIN(档位积分1:档位积分5),
      INDEX(档位积分1:档位积分5, MATCH(N22, 档位积分1:档位积分5, 1)+1)))</f>
        <v>4000</v>
      </c>
      <c r="O23" s="56">
        <f>IF(O22="无奖励", "",
   INDEX(档位积分1:档位积分5, MATCH(P22, 档位积分1:档位积分5, 1)))</f>
        <v>4000</v>
      </c>
      <c r="P23" s="79">
        <f>IF(P22&gt;=MAX(档位积分1:档位积分5), "",
   IF(P22&lt;MIN(档位积分1:档位积分5), MIN(档位积分1:档位积分5),
      INDEX(档位积分1:档位积分5, MATCH(P22, 档位积分1:档位积分5, 1)+1)))</f>
        <v>7500</v>
      </c>
    </row>
    <row r="24" spans="2:16" ht="16.8" thickTop="1" thickBot="1">
      <c r="B24" s="122" t="s">
        <v>218</v>
      </c>
      <c r="C24" s="123">
        <f>D22-C23</f>
        <v>60</v>
      </c>
      <c r="D24" s="120">
        <f>D23-D22</f>
        <v>1040</v>
      </c>
      <c r="E24" s="123">
        <f>F22-E23</f>
        <v>0.5</v>
      </c>
      <c r="F24" s="120">
        <f>F23-F22</f>
        <v>1099.5</v>
      </c>
      <c r="G24" s="123">
        <f>H22-G23</f>
        <v>0.5</v>
      </c>
      <c r="H24" s="120">
        <f>H23-H22</f>
        <v>1099.5</v>
      </c>
      <c r="I24" s="123">
        <f>J22-I23</f>
        <v>0.5</v>
      </c>
      <c r="J24" s="120">
        <f>J23-J22</f>
        <v>1099.5</v>
      </c>
      <c r="K24" s="123">
        <f>L22-K23</f>
        <v>0.5</v>
      </c>
      <c r="L24" s="120">
        <f>L23-L22</f>
        <v>1099.5</v>
      </c>
      <c r="M24" s="123">
        <f>N22-M23</f>
        <v>0.5</v>
      </c>
      <c r="N24" s="120">
        <f>N23-N22</f>
        <v>1099.5</v>
      </c>
      <c r="O24" s="123">
        <f>P22-O23</f>
        <v>126.13000000000011</v>
      </c>
      <c r="P24" s="120">
        <f>P23-P22</f>
        <v>3373.87</v>
      </c>
    </row>
    <row r="25" spans="2:16" ht="16.2" thickTop="1">
      <c r="B25" s="70" t="str">
        <f>"总"&amp;抽奖道具</f>
        <v>总月兔券</v>
      </c>
      <c r="C25" s="56">
        <f>SUM(C6:C14)</f>
        <v>148</v>
      </c>
      <c r="D25" s="57">
        <f>C25*积分规则3</f>
        <v>119.88000000000001</v>
      </c>
      <c r="E25" s="56">
        <f>C25+SUM(E6:E14)</f>
        <v>291</v>
      </c>
      <c r="F25" s="57">
        <v>0</v>
      </c>
      <c r="G25" s="56">
        <f>E25+SUM(G6:G14)</f>
        <v>434</v>
      </c>
      <c r="H25" s="57">
        <v>0</v>
      </c>
      <c r="I25" s="56">
        <f>G25+SUM(I6:I14)</f>
        <v>577</v>
      </c>
      <c r="J25" s="57">
        <v>0</v>
      </c>
      <c r="K25" s="56">
        <f>I25+SUM(K6:K14)</f>
        <v>720</v>
      </c>
      <c r="L25" s="57">
        <v>0</v>
      </c>
      <c r="M25" s="56">
        <f>K25+SUM(M6:M14)</f>
        <v>863</v>
      </c>
      <c r="N25" s="57">
        <v>0</v>
      </c>
      <c r="O25" s="56">
        <f>M25+SUM(O6:O14)</f>
        <v>1006</v>
      </c>
      <c r="P25" s="57">
        <v>0</v>
      </c>
    </row>
    <row r="26" spans="2:16">
      <c r="B26" s="92" t="s">
        <v>93</v>
      </c>
      <c r="C26" s="3">
        <f>C15</f>
        <v>0</v>
      </c>
      <c r="D26" s="4"/>
      <c r="E26" s="3">
        <f>C26+E15</f>
        <v>50</v>
      </c>
      <c r="F26" s="4"/>
      <c r="G26" s="3">
        <f>G15+E26</f>
        <v>100</v>
      </c>
      <c r="H26" s="4"/>
      <c r="I26" s="3">
        <f>I15+G26</f>
        <v>150</v>
      </c>
      <c r="J26" s="4"/>
      <c r="K26" s="3">
        <f>K15+I26</f>
        <v>200</v>
      </c>
      <c r="L26" s="4"/>
      <c r="M26" s="3">
        <f>M15+K26</f>
        <v>250</v>
      </c>
      <c r="N26" s="4"/>
      <c r="O26" s="3">
        <f>O15+M26</f>
        <v>1006</v>
      </c>
      <c r="P26" s="4"/>
    </row>
    <row r="27" spans="2:16" ht="16.2" thickBot="1">
      <c r="B27" s="55" t="s">
        <v>55</v>
      </c>
      <c r="C27" s="5">
        <f>IFERROR(LOOKUP(D22,档位积分1:档位积分5,档位奖励1:档位奖励5),0)</f>
        <v>6</v>
      </c>
      <c r="D27" s="13">
        <f>C27*随机箱积分</f>
        <v>61.529999999999994</v>
      </c>
      <c r="E27" s="5">
        <f>IFERROR(LOOKUP(F22,档位积分1:档位积分5,档位奖励1:档位奖励5),0)+C27</f>
        <v>12</v>
      </c>
      <c r="F27" s="13">
        <f>E27*随机箱积分</f>
        <v>123.05999999999999</v>
      </c>
      <c r="G27" s="5">
        <f>IFERROR(LOOKUP(H22,档位积分1:档位积分5,档位奖励1:档位奖励5),0)+E27</f>
        <v>18</v>
      </c>
      <c r="H27" s="13">
        <f>G27*随机箱积分</f>
        <v>184.58999999999997</v>
      </c>
      <c r="I27" s="5">
        <f>IFERROR(LOOKUP(J22,档位积分1:档位积分5,档位奖励1:档位奖励5),0)+G27</f>
        <v>24</v>
      </c>
      <c r="J27" s="13">
        <f>I27*随机箱积分</f>
        <v>246.11999999999998</v>
      </c>
      <c r="K27" s="5">
        <f>IFERROR(LOOKUP(L22,档位积分1:档位积分5,档位奖励1:档位奖励5),0)+I27</f>
        <v>30</v>
      </c>
      <c r="L27" s="13">
        <f>K27*随机箱积分</f>
        <v>307.64999999999998</v>
      </c>
      <c r="M27" s="5">
        <f>IFERROR(LOOKUP(N22,档位积分1:档位积分5,档位奖励1:档位奖励5),0)+K27</f>
        <v>36</v>
      </c>
      <c r="N27" s="13">
        <f>M27*随机箱积分</f>
        <v>369.17999999999995</v>
      </c>
      <c r="O27" s="5">
        <f>IFERROR(LOOKUP(P22,档位积分1:档位积分5,档位奖励1:档位奖励5),0)+M27</f>
        <v>54</v>
      </c>
      <c r="P27" s="13">
        <f>O27*随机箱积分</f>
        <v>553.77</v>
      </c>
    </row>
    <row r="28" spans="2:16" ht="16.2" thickTop="1">
      <c r="B28" s="58" t="str">
        <f>普通兑换道具</f>
        <v>桃花兔灯</v>
      </c>
      <c r="C28" s="75">
        <f>C15*普通兑换道具抽奖期望</f>
        <v>0</v>
      </c>
      <c r="D28" s="57"/>
      <c r="E28" s="75">
        <f>E15*普通兑换道具抽奖期望+C28</f>
        <v>2750</v>
      </c>
      <c r="F28" s="76"/>
      <c r="G28" s="75">
        <f>G15*普通兑换道具抽奖期望+E28</f>
        <v>5500</v>
      </c>
      <c r="H28" s="76"/>
      <c r="I28" s="75">
        <f>I15*普通兑换道具抽奖期望+G28</f>
        <v>8250</v>
      </c>
      <c r="J28" s="76"/>
      <c r="K28" s="75">
        <f>K15*普通兑换道具抽奖期望+I28</f>
        <v>11000</v>
      </c>
      <c r="L28" s="76"/>
      <c r="M28" s="75">
        <f>M15*普通兑换道具抽奖期望+K28</f>
        <v>13750</v>
      </c>
      <c r="N28" s="76"/>
      <c r="O28" s="75">
        <f>O15*普通兑换道具抽奖期望+M28-2900</f>
        <v>52430</v>
      </c>
      <c r="P28" s="57"/>
    </row>
    <row r="29" spans="2:16" ht="16.2" thickBot="1">
      <c r="B29" s="59" t="str">
        <f>高级兑换道具</f>
        <v>华彩兔灯</v>
      </c>
      <c r="C29" s="77">
        <f>C15*高级兑换道具抽奖期望+C17*随机箱高级道具期望+C19+C20</f>
        <v>0</v>
      </c>
      <c r="D29" s="13"/>
      <c r="E29" s="77">
        <f>E15*高级兑换道具抽奖期望+E17*随机箱高级道具期望+E19+E20+C29</f>
        <v>40.5</v>
      </c>
      <c r="F29" s="78"/>
      <c r="G29" s="77">
        <f>G15*高级兑换道具抽奖期望+G17*随机箱高级道具期望+G19+G20+E29</f>
        <v>81</v>
      </c>
      <c r="H29" s="78"/>
      <c r="I29" s="77">
        <f>I15*高级兑换道具抽奖期望+I17*随机箱高级道具期望+I19+I20+G29</f>
        <v>121.5</v>
      </c>
      <c r="J29" s="78"/>
      <c r="K29" s="77">
        <f>K15*高级兑换道具抽奖期望+K17*随机箱高级道具期望+K19+K20+I29</f>
        <v>162</v>
      </c>
      <c r="L29" s="78"/>
      <c r="M29" s="77">
        <f>M15*高级兑换道具抽奖期望+M17*随机箱高级道具期望+M19+M20+K29</f>
        <v>202.5</v>
      </c>
      <c r="N29" s="78"/>
      <c r="O29" s="77">
        <f>O15*高级兑换道具抽奖期望+O17*随机箱高级道具期望+O19+O20+M29</f>
        <v>1468.63</v>
      </c>
      <c r="P29" s="13"/>
    </row>
    <row r="30" spans="2:16" ht="16.8" thickTop="1" thickBot="1">
      <c r="B30" s="70" t="s">
        <v>214</v>
      </c>
      <c r="C30" s="110" t="s">
        <v>206</v>
      </c>
      <c r="D30" s="111" t="s">
        <v>205</v>
      </c>
      <c r="E30" s="110" t="s">
        <v>206</v>
      </c>
      <c r="F30" s="111" t="s">
        <v>205</v>
      </c>
      <c r="G30" s="110" t="s">
        <v>206</v>
      </c>
      <c r="H30" s="111" t="s">
        <v>205</v>
      </c>
      <c r="I30" s="110" t="s">
        <v>206</v>
      </c>
      <c r="J30" s="111" t="s">
        <v>205</v>
      </c>
      <c r="K30" s="110" t="s">
        <v>206</v>
      </c>
      <c r="L30" s="111" t="s">
        <v>205</v>
      </c>
      <c r="M30" s="110" t="s">
        <v>206</v>
      </c>
      <c r="N30" s="111" t="s">
        <v>205</v>
      </c>
      <c r="O30" s="110" t="s">
        <v>206</v>
      </c>
      <c r="P30" s="111" t="s">
        <v>205</v>
      </c>
    </row>
    <row r="31" spans="2:16" ht="16.2" thickTop="1">
      <c r="B31" s="132" t="str">
        <f>抽奖道具 &amp;"礼包"&amp; CHAR(10) &amp; "(每日限购1次)"</f>
        <v>月兔券礼包
(每日限购1次)</v>
      </c>
      <c r="C31" s="65" t="s">
        <v>207</v>
      </c>
      <c r="D31" s="26">
        <v>0</v>
      </c>
      <c r="E31" s="65" t="s">
        <v>207</v>
      </c>
      <c r="F31" s="26">
        <v>0</v>
      </c>
      <c r="G31" s="65" t="s">
        <v>207</v>
      </c>
      <c r="H31" s="26">
        <v>0</v>
      </c>
      <c r="I31" s="65" t="s">
        <v>207</v>
      </c>
      <c r="J31" s="26">
        <v>0</v>
      </c>
      <c r="K31" s="65" t="s">
        <v>207</v>
      </c>
      <c r="L31" s="26">
        <v>0</v>
      </c>
      <c r="M31" s="65" t="s">
        <v>207</v>
      </c>
      <c r="N31" s="26">
        <v>0</v>
      </c>
      <c r="O31" s="65" t="s">
        <v>207</v>
      </c>
      <c r="P31" s="26">
        <v>0</v>
      </c>
    </row>
    <row r="32" spans="2:16">
      <c r="B32" s="133"/>
      <c r="C32" s="65" t="s">
        <v>208</v>
      </c>
      <c r="D32" s="26">
        <v>0</v>
      </c>
      <c r="E32" s="65" t="s">
        <v>208</v>
      </c>
      <c r="F32" s="26">
        <v>0</v>
      </c>
      <c r="G32" s="65" t="s">
        <v>208</v>
      </c>
      <c r="H32" s="26">
        <v>0</v>
      </c>
      <c r="I32" s="65" t="s">
        <v>208</v>
      </c>
      <c r="J32" s="26">
        <v>0</v>
      </c>
      <c r="K32" s="65" t="s">
        <v>208</v>
      </c>
      <c r="L32" s="26">
        <v>0</v>
      </c>
      <c r="M32" s="65" t="s">
        <v>208</v>
      </c>
      <c r="N32" s="26">
        <v>0</v>
      </c>
      <c r="O32" s="65" t="s">
        <v>208</v>
      </c>
      <c r="P32" s="26">
        <v>0</v>
      </c>
    </row>
    <row r="33" spans="2:19">
      <c r="B33" s="133"/>
      <c r="C33" s="65" t="s">
        <v>209</v>
      </c>
      <c r="D33" s="26">
        <v>0</v>
      </c>
      <c r="E33" s="65" t="s">
        <v>209</v>
      </c>
      <c r="F33" s="26">
        <v>0</v>
      </c>
      <c r="G33" s="65" t="s">
        <v>209</v>
      </c>
      <c r="H33" s="26">
        <v>0</v>
      </c>
      <c r="I33" s="65" t="s">
        <v>209</v>
      </c>
      <c r="J33" s="26">
        <v>0</v>
      </c>
      <c r="K33" s="65" t="s">
        <v>209</v>
      </c>
      <c r="L33" s="26">
        <v>0</v>
      </c>
      <c r="M33" s="65" t="s">
        <v>209</v>
      </c>
      <c r="N33" s="26">
        <v>0</v>
      </c>
      <c r="O33" s="65" t="s">
        <v>209</v>
      </c>
      <c r="P33" s="26">
        <v>0</v>
      </c>
    </row>
    <row r="34" spans="2:19">
      <c r="B34" s="133"/>
      <c r="C34" s="65" t="s">
        <v>210</v>
      </c>
      <c r="D34" s="26">
        <v>0</v>
      </c>
      <c r="E34" s="65" t="s">
        <v>210</v>
      </c>
      <c r="F34" s="26">
        <v>0</v>
      </c>
      <c r="G34" s="65" t="s">
        <v>210</v>
      </c>
      <c r="H34" s="26">
        <v>0</v>
      </c>
      <c r="I34" s="65" t="s">
        <v>210</v>
      </c>
      <c r="J34" s="26">
        <v>0</v>
      </c>
      <c r="K34" s="65" t="s">
        <v>210</v>
      </c>
      <c r="L34" s="26">
        <v>0</v>
      </c>
      <c r="M34" s="65" t="s">
        <v>210</v>
      </c>
      <c r="N34" s="26">
        <v>0</v>
      </c>
      <c r="O34" s="65" t="s">
        <v>210</v>
      </c>
      <c r="P34" s="26">
        <v>0</v>
      </c>
    </row>
    <row r="35" spans="2:19">
      <c r="B35" s="133"/>
      <c r="C35" s="65" t="s">
        <v>211</v>
      </c>
      <c r="D35" s="26">
        <v>0</v>
      </c>
      <c r="E35" s="65" t="s">
        <v>211</v>
      </c>
      <c r="F35" s="26">
        <v>0</v>
      </c>
      <c r="G35" s="65" t="s">
        <v>211</v>
      </c>
      <c r="H35" s="26">
        <v>0</v>
      </c>
      <c r="I35" s="65" t="s">
        <v>211</v>
      </c>
      <c r="J35" s="26">
        <v>0</v>
      </c>
      <c r="K35" s="65" t="s">
        <v>211</v>
      </c>
      <c r="L35" s="26">
        <v>0</v>
      </c>
      <c r="M35" s="65" t="s">
        <v>211</v>
      </c>
      <c r="N35" s="26">
        <v>0</v>
      </c>
      <c r="O35" s="65" t="s">
        <v>211</v>
      </c>
      <c r="P35" s="26">
        <v>0</v>
      </c>
    </row>
    <row r="36" spans="2:19">
      <c r="B36" s="133"/>
      <c r="C36" s="65" t="s">
        <v>212</v>
      </c>
      <c r="D36" s="26">
        <v>0</v>
      </c>
      <c r="E36" s="65" t="s">
        <v>212</v>
      </c>
      <c r="F36" s="26">
        <v>0</v>
      </c>
      <c r="G36" s="65" t="s">
        <v>212</v>
      </c>
      <c r="H36" s="26">
        <v>0</v>
      </c>
      <c r="I36" s="65" t="s">
        <v>212</v>
      </c>
      <c r="J36" s="26">
        <v>0</v>
      </c>
      <c r="K36" s="65" t="s">
        <v>212</v>
      </c>
      <c r="L36" s="26">
        <v>0</v>
      </c>
      <c r="M36" s="65" t="s">
        <v>212</v>
      </c>
      <c r="N36" s="26">
        <v>0</v>
      </c>
      <c r="O36" s="65" t="s">
        <v>212</v>
      </c>
      <c r="P36" s="26">
        <v>0</v>
      </c>
    </row>
    <row r="37" spans="2:19" ht="16.2" thickBot="1">
      <c r="B37" s="134"/>
      <c r="C37" s="112" t="s">
        <v>213</v>
      </c>
      <c r="D37" s="13">
        <v>0</v>
      </c>
      <c r="E37" s="112" t="s">
        <v>213</v>
      </c>
      <c r="F37" s="13">
        <v>0</v>
      </c>
      <c r="G37" s="112" t="s">
        <v>213</v>
      </c>
      <c r="H37" s="13">
        <v>0</v>
      </c>
      <c r="I37" s="112" t="s">
        <v>213</v>
      </c>
      <c r="J37" s="13">
        <v>0</v>
      </c>
      <c r="K37" s="112" t="s">
        <v>213</v>
      </c>
      <c r="L37" s="13">
        <v>0</v>
      </c>
      <c r="M37" s="112" t="s">
        <v>213</v>
      </c>
      <c r="N37" s="13">
        <v>0</v>
      </c>
      <c r="O37" s="112" t="s">
        <v>213</v>
      </c>
      <c r="P37" s="13">
        <v>0</v>
      </c>
    </row>
    <row r="38" spans="2:19" ht="16.2" thickTop="1">
      <c r="B38" s="129" t="str">
        <f>高级兑换道具 &amp;"礼包"&amp; CHAR(10) &amp; "(每日限购2次)"</f>
        <v>华彩兔灯礼包
(每日限购2次)</v>
      </c>
      <c r="C38" s="20" t="s">
        <v>207</v>
      </c>
      <c r="D38" s="57">
        <v>0</v>
      </c>
      <c r="E38" s="20" t="s">
        <v>207</v>
      </c>
      <c r="F38" s="57">
        <v>0</v>
      </c>
      <c r="G38" s="20" t="s">
        <v>207</v>
      </c>
      <c r="H38" s="57">
        <v>0</v>
      </c>
      <c r="I38" s="20" t="s">
        <v>207</v>
      </c>
      <c r="J38" s="57">
        <v>0</v>
      </c>
      <c r="K38" s="20" t="s">
        <v>207</v>
      </c>
      <c r="L38" s="57">
        <v>0</v>
      </c>
      <c r="M38" s="20" t="s">
        <v>207</v>
      </c>
      <c r="N38" s="57">
        <v>0</v>
      </c>
      <c r="O38" s="20" t="s">
        <v>207</v>
      </c>
      <c r="P38" s="57">
        <v>0</v>
      </c>
    </row>
    <row r="39" spans="2:19">
      <c r="B39" s="130"/>
      <c r="C39" s="65" t="s">
        <v>208</v>
      </c>
      <c r="D39" s="4">
        <v>0</v>
      </c>
      <c r="E39" s="65" t="s">
        <v>208</v>
      </c>
      <c r="F39" s="4">
        <v>0</v>
      </c>
      <c r="G39" s="65" t="s">
        <v>208</v>
      </c>
      <c r="H39" s="4">
        <v>0</v>
      </c>
      <c r="I39" s="65" t="s">
        <v>208</v>
      </c>
      <c r="J39" s="4">
        <v>0</v>
      </c>
      <c r="K39" s="65" t="s">
        <v>208</v>
      </c>
      <c r="L39" s="4">
        <v>0</v>
      </c>
      <c r="M39" s="65" t="s">
        <v>208</v>
      </c>
      <c r="N39" s="4">
        <v>0</v>
      </c>
      <c r="O39" s="65" t="s">
        <v>208</v>
      </c>
      <c r="P39" s="4">
        <v>0</v>
      </c>
    </row>
    <row r="40" spans="2:19">
      <c r="B40" s="130"/>
      <c r="C40" s="65" t="s">
        <v>209</v>
      </c>
      <c r="D40" s="4">
        <v>0</v>
      </c>
      <c r="E40" s="65" t="s">
        <v>209</v>
      </c>
      <c r="F40" s="4">
        <v>0</v>
      </c>
      <c r="G40" s="65" t="s">
        <v>209</v>
      </c>
      <c r="H40" s="4">
        <v>0</v>
      </c>
      <c r="I40" s="65" t="s">
        <v>209</v>
      </c>
      <c r="J40" s="4">
        <v>0</v>
      </c>
      <c r="K40" s="65" t="s">
        <v>209</v>
      </c>
      <c r="L40" s="4">
        <v>0</v>
      </c>
      <c r="M40" s="65" t="s">
        <v>209</v>
      </c>
      <c r="N40" s="4">
        <v>0</v>
      </c>
      <c r="O40" s="65" t="s">
        <v>209</v>
      </c>
      <c r="P40" s="4">
        <v>0</v>
      </c>
    </row>
    <row r="41" spans="2:19" ht="16.2" thickBot="1">
      <c r="B41" s="131"/>
      <c r="C41" s="112" t="s">
        <v>210</v>
      </c>
      <c r="D41" s="13">
        <v>0</v>
      </c>
      <c r="E41" s="112" t="s">
        <v>210</v>
      </c>
      <c r="F41" s="13">
        <v>0</v>
      </c>
      <c r="G41" s="112" t="s">
        <v>210</v>
      </c>
      <c r="H41" s="13">
        <v>0</v>
      </c>
      <c r="I41" s="112" t="s">
        <v>210</v>
      </c>
      <c r="J41" s="13">
        <v>0</v>
      </c>
      <c r="K41" s="112" t="s">
        <v>210</v>
      </c>
      <c r="L41" s="13">
        <v>0</v>
      </c>
      <c r="M41" s="112" t="s">
        <v>210</v>
      </c>
      <c r="N41" s="13">
        <v>0</v>
      </c>
      <c r="O41" s="112" t="s">
        <v>210</v>
      </c>
      <c r="P41" s="13">
        <v>0</v>
      </c>
    </row>
    <row r="42" spans="2:19" ht="16.2" thickTop="1"/>
    <row r="44" spans="2:19" ht="23.4">
      <c r="B44" s="27"/>
      <c r="C44" s="27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2:19" ht="23.4">
      <c r="B45" s="27"/>
      <c r="C45" s="6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2:19" ht="23.4">
      <c r="B46" s="27"/>
      <c r="C46" s="49"/>
      <c r="D46" s="50"/>
      <c r="E46" s="50"/>
      <c r="F46" s="50"/>
      <c r="G46" s="50"/>
      <c r="H46" s="50"/>
      <c r="I46" s="50"/>
      <c r="J46" s="50"/>
      <c r="K46" s="10"/>
      <c r="L46" s="10"/>
      <c r="M46" s="10"/>
      <c r="N46" s="10"/>
      <c r="O46" s="10"/>
      <c r="P46" s="10"/>
    </row>
    <row r="47" spans="2:19" ht="23.4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2:19">
      <c r="F48" s="141"/>
      <c r="G48" s="141"/>
      <c r="H48" s="141"/>
      <c r="I48" s="141"/>
      <c r="K48" s="135"/>
      <c r="L48" s="135"/>
      <c r="M48" s="135"/>
      <c r="N48" s="135"/>
      <c r="P48" s="135"/>
      <c r="Q48" s="135"/>
      <c r="R48" s="135"/>
      <c r="S48" s="135"/>
    </row>
    <row r="49" spans="2:19">
      <c r="K49" s="6"/>
      <c r="L49" s="6"/>
      <c r="M49" s="6"/>
      <c r="N49" s="6"/>
      <c r="P49" s="6"/>
      <c r="R49" s="6"/>
      <c r="S49" s="6"/>
    </row>
    <row r="50" spans="2:19">
      <c r="K50" s="6"/>
      <c r="L50" s="6"/>
      <c r="M50" s="6"/>
      <c r="N50" s="6"/>
      <c r="P50" s="6"/>
      <c r="R50" s="6"/>
      <c r="S50" s="6"/>
    </row>
    <row r="51" spans="2:19">
      <c r="K51" s="6"/>
      <c r="L51" s="6"/>
      <c r="M51" s="6"/>
      <c r="N51" s="6"/>
      <c r="P51" s="6"/>
      <c r="R51" s="6"/>
      <c r="S51" s="6"/>
    </row>
    <row r="52" spans="2:19">
      <c r="K52" s="6"/>
      <c r="L52" s="6"/>
      <c r="M52" s="6"/>
      <c r="N52" s="6"/>
      <c r="P52" s="25"/>
      <c r="R52" s="25"/>
      <c r="S52" s="6"/>
    </row>
    <row r="53" spans="2:19">
      <c r="G53" s="28"/>
      <c r="H53" s="28"/>
      <c r="I53" s="28"/>
      <c r="K53" s="6"/>
      <c r="M53" s="6"/>
      <c r="N53" s="6"/>
      <c r="O53" s="6"/>
      <c r="P53" s="6"/>
    </row>
    <row r="54" spans="2:19">
      <c r="F54" s="6"/>
      <c r="G54" s="6"/>
      <c r="H54" s="6"/>
      <c r="K54" s="6"/>
      <c r="M54" s="6"/>
      <c r="N54" s="6"/>
      <c r="O54" s="6"/>
      <c r="P54" s="6"/>
    </row>
    <row r="55" spans="2:19">
      <c r="B55" s="136"/>
      <c r="C55" s="136"/>
      <c r="D55" s="136"/>
      <c r="K55" s="135"/>
      <c r="L55" s="135"/>
      <c r="M55" s="135"/>
      <c r="N55" s="135"/>
    </row>
    <row r="56" spans="2:19">
      <c r="K56" s="6"/>
      <c r="M56" s="6"/>
      <c r="N56" s="6"/>
      <c r="P56" s="25"/>
    </row>
    <row r="57" spans="2:19">
      <c r="K57" s="6"/>
      <c r="M57" s="6"/>
      <c r="N57" s="6"/>
      <c r="P57" s="25"/>
    </row>
    <row r="58" spans="2:19">
      <c r="K58" s="6"/>
      <c r="M58" s="6"/>
      <c r="N58" s="6"/>
      <c r="P58" s="25"/>
    </row>
    <row r="59" spans="2:19">
      <c r="B59" s="136"/>
      <c r="C59" s="136"/>
      <c r="D59" s="136"/>
      <c r="K59" s="6"/>
      <c r="M59" s="6"/>
      <c r="N59" s="6"/>
      <c r="P59" s="25"/>
    </row>
    <row r="60" spans="2:19">
      <c r="K60" s="6"/>
      <c r="M60" s="6"/>
      <c r="N60" s="6"/>
      <c r="P60" s="25"/>
    </row>
    <row r="61" spans="2:19">
      <c r="K61" s="6"/>
      <c r="M61" s="6"/>
      <c r="N61" s="6"/>
      <c r="P61" s="25"/>
    </row>
    <row r="62" spans="2:19">
      <c r="K62" s="6"/>
      <c r="M62" s="6"/>
      <c r="N62" s="6"/>
      <c r="P62" s="25"/>
    </row>
    <row r="63" spans="2:19">
      <c r="K63" s="6"/>
      <c r="M63" s="6"/>
      <c r="N63" s="6"/>
      <c r="P63" s="25"/>
    </row>
    <row r="64" spans="2:19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  <row r="75" spans="16:16">
      <c r="P75" s="25"/>
    </row>
    <row r="76" spans="16:16">
      <c r="P76" s="25"/>
    </row>
    <row r="77" spans="16:16">
      <c r="P77" s="25"/>
    </row>
    <row r="78" spans="16:16">
      <c r="P78" s="25"/>
    </row>
    <row r="79" spans="16:16">
      <c r="P79" s="25"/>
    </row>
  </sheetData>
  <mergeCells count="20">
    <mergeCell ref="B59:D59"/>
    <mergeCell ref="C4:D4"/>
    <mergeCell ref="E4:F4"/>
    <mergeCell ref="G4:H4"/>
    <mergeCell ref="C2:H2"/>
    <mergeCell ref="F48:I48"/>
    <mergeCell ref="B2:B3"/>
    <mergeCell ref="C3:P3"/>
    <mergeCell ref="B55:D55"/>
    <mergeCell ref="I2:L2"/>
    <mergeCell ref="M2:P2"/>
    <mergeCell ref="O4:P4"/>
    <mergeCell ref="I4:J4"/>
    <mergeCell ref="K4:L4"/>
    <mergeCell ref="M4:N4"/>
    <mergeCell ref="B38:B41"/>
    <mergeCell ref="B31:B37"/>
    <mergeCell ref="P48:S48"/>
    <mergeCell ref="K48:N48"/>
    <mergeCell ref="K55:N55"/>
  </mergeCells>
  <phoneticPr fontId="20" type="noConversion"/>
  <conditionalFormatting sqref="B8:P8">
    <cfRule type="cellIs" dxfId="24" priority="6" operator="greaterThan">
      <formula>0</formula>
    </cfRule>
  </conditionalFormatting>
  <conditionalFormatting sqref="B12:P12">
    <cfRule type="cellIs" dxfId="23" priority="3" operator="greaterThan">
      <formula>0</formula>
    </cfRule>
  </conditionalFormatting>
  <conditionalFormatting sqref="C9:P9">
    <cfRule type="cellIs" dxfId="22" priority="4" operator="greaterThan">
      <formula>0</formula>
    </cfRule>
  </conditionalFormatting>
  <conditionalFormatting sqref="D31:D37 F31:F37 H31:H37 J31:J37 L31:L37 N31:N37 P31:P37 C13:P13">
    <cfRule type="cellIs" dxfId="21" priority="2" operator="greaterThan">
      <formula>0</formula>
    </cfRule>
  </conditionalFormatting>
  <conditionalFormatting sqref="C13:P14">
    <cfRule type="cellIs" dxfId="20" priority="5" operator="greaterThan">
      <formula>0</formula>
    </cfRule>
  </conditionalFormatting>
  <conditionalFormatting sqref="C15:P15">
    <cfRule type="cellIs" dxfId="19" priority="11" operator="greaterThan">
      <formula>0</formula>
    </cfRule>
  </conditionalFormatting>
  <conditionalFormatting sqref="C17:P17">
    <cfRule type="cellIs" dxfId="18" priority="8" operator="greaterThan">
      <formula>0</formula>
    </cfRule>
  </conditionalFormatting>
  <conditionalFormatting sqref="C19:P19">
    <cfRule type="cellIs" dxfId="17" priority="10" operator="greaterThan">
      <formula>0</formula>
    </cfRule>
  </conditionalFormatting>
  <conditionalFormatting sqref="D38:D41 F38:F41 H38:H41 J38:J41 L38:L41 N38:N41 P38:P41 C20:P20">
    <cfRule type="cellIs" dxfId="16" priority="1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U30"/>
  <sheetViews>
    <sheetView topLeftCell="A7" workbookViewId="0">
      <selection activeCell="K5" sqref="K5"/>
    </sheetView>
  </sheetViews>
  <sheetFormatPr defaultRowHeight="15.6"/>
  <cols>
    <col min="1" max="1" width="9.33203125" style="33" customWidth="1"/>
    <col min="2" max="2" width="8.88671875" style="33" customWidth="1"/>
    <col min="3" max="3" width="53.109375" style="33" customWidth="1"/>
    <col min="4" max="4" width="9.109375" style="33" bestFit="1" customWidth="1"/>
    <col min="5" max="7" width="11.109375" style="33" bestFit="1" customWidth="1"/>
    <col min="8" max="9" width="15.77734375" style="33" customWidth="1"/>
    <col min="10" max="10" width="13.6640625" style="33" customWidth="1"/>
    <col min="11" max="11" width="17.44140625" style="33" customWidth="1"/>
    <col min="12" max="12" width="16.77734375" style="33" customWidth="1"/>
    <col min="13" max="13" width="14.109375" style="33" customWidth="1"/>
    <col min="14" max="14" width="8.88671875" style="33"/>
    <col min="15" max="15" width="17.44140625" style="33" customWidth="1"/>
    <col min="16" max="16384" width="8.88671875" style="33"/>
  </cols>
  <sheetData>
    <row r="1" spans="1:21" ht="16.2" thickBot="1"/>
    <row r="2" spans="1:21" ht="24" customHeight="1" thickTop="1" thickBot="1">
      <c r="B2" s="197" t="s">
        <v>163</v>
      </c>
      <c r="C2" s="198"/>
      <c r="D2" s="198"/>
      <c r="E2" s="198"/>
      <c r="F2" s="198"/>
      <c r="G2" s="198"/>
      <c r="H2" s="198"/>
      <c r="I2" s="199"/>
      <c r="R2" s="51"/>
    </row>
    <row r="3" spans="1:21" ht="17.55" customHeight="1" thickTop="1">
      <c r="B3" s="202" t="s">
        <v>45</v>
      </c>
      <c r="C3" s="203"/>
      <c r="D3" s="202" t="str">
        <f>"期望"&amp;普通兑换道具</f>
        <v>期望桃花兔灯</v>
      </c>
      <c r="E3" s="206"/>
      <c r="F3" s="203"/>
      <c r="G3" s="206" t="str">
        <f>"期望"&amp;高级兑换道具</f>
        <v>期望华彩兔灯</v>
      </c>
      <c r="H3" s="206"/>
      <c r="I3" s="203"/>
      <c r="R3" s="51"/>
    </row>
    <row r="4" spans="1:21" ht="12.6" customHeight="1">
      <c r="B4" s="204"/>
      <c r="C4" s="205"/>
      <c r="D4" s="204"/>
      <c r="E4" s="207"/>
      <c r="F4" s="205"/>
      <c r="G4" s="207"/>
      <c r="H4" s="207"/>
      <c r="I4" s="205"/>
      <c r="R4" s="51"/>
      <c r="T4" s="52"/>
      <c r="U4" s="52"/>
    </row>
    <row r="5" spans="1:21" ht="20.85" customHeight="1" thickBot="1">
      <c r="B5" s="200" t="str">
        <f>月兔寻宝10.5w!C2</f>
        <v>105000钻石</v>
      </c>
      <c r="C5" s="201"/>
      <c r="D5" s="210">
        <f>月兔寻宝10.5w!O28</f>
        <v>52430</v>
      </c>
      <c r="E5" s="211"/>
      <c r="F5" s="212"/>
      <c r="G5" s="208">
        <f>月兔寻宝10.5w!O29</f>
        <v>1468.63</v>
      </c>
      <c r="H5" s="208"/>
      <c r="I5" s="209"/>
      <c r="R5" s="51"/>
      <c r="T5" s="52"/>
      <c r="U5" s="52"/>
    </row>
    <row r="6" spans="1:21" ht="17.55" customHeight="1" thickTop="1">
      <c r="B6" s="191" t="s">
        <v>166</v>
      </c>
      <c r="C6" s="192"/>
      <c r="D6" s="192"/>
      <c r="E6" s="192"/>
      <c r="F6" s="192"/>
      <c r="G6" s="192"/>
      <c r="H6" s="192"/>
      <c r="I6" s="193"/>
      <c r="R6" s="51"/>
    </row>
    <row r="7" spans="1:21" ht="17.55" customHeight="1" thickBot="1">
      <c r="B7" s="194"/>
      <c r="C7" s="195"/>
      <c r="D7" s="195"/>
      <c r="E7" s="195"/>
      <c r="F7" s="195"/>
      <c r="G7" s="195"/>
      <c r="H7" s="195"/>
      <c r="I7" s="196"/>
      <c r="R7" s="51"/>
    </row>
    <row r="8" spans="1:21" ht="32.4" customHeight="1" thickTop="1">
      <c r="A8" s="43" t="s">
        <v>95</v>
      </c>
      <c r="B8" s="42" t="s">
        <v>35</v>
      </c>
      <c r="C8" s="43" t="s">
        <v>44</v>
      </c>
      <c r="D8" s="43" t="s">
        <v>215</v>
      </c>
      <c r="E8" s="43" t="str">
        <f>月兔寻宝10.5w!B15</f>
        <v>使用月兔券</v>
      </c>
      <c r="F8" s="43" t="str">
        <f>月兔寻宝10.5w!B16</f>
        <v>剩余月兔券</v>
      </c>
      <c r="G8" s="43" t="str">
        <f>月兔寻宝10.5w!B18</f>
        <v>剩余随机箱</v>
      </c>
      <c r="H8" s="43" t="str">
        <f>"期望"&amp;普通兑换道具</f>
        <v>期望桃花兔灯</v>
      </c>
      <c r="I8" s="44" t="str">
        <f>"期望"&amp;高级兑换道具</f>
        <v>期望华彩兔灯</v>
      </c>
      <c r="J8" s="44" t="s">
        <v>94</v>
      </c>
      <c r="R8" s="51"/>
    </row>
    <row r="9" spans="1:21" ht="36">
      <c r="B9" s="40" t="s">
        <v>36</v>
      </c>
      <c r="C9" s="36" t="s">
        <v>157</v>
      </c>
      <c r="D9" s="36" t="str">
        <f>月兔寻宝10.5w!C22</f>
        <v>第2档</v>
      </c>
      <c r="E9" s="36">
        <f>月兔寻宝10.5w!C15</f>
        <v>0</v>
      </c>
      <c r="F9" s="36">
        <f>月兔寻宝10.5w!C16</f>
        <v>148</v>
      </c>
      <c r="G9" s="36">
        <f>月兔寻宝10.5w!C18</f>
        <v>6</v>
      </c>
      <c r="H9" s="37">
        <f>月兔寻宝10.5w!C28</f>
        <v>0</v>
      </c>
      <c r="I9" s="41">
        <f>月兔寻宝10.5w!C29</f>
        <v>0</v>
      </c>
      <c r="J9" s="83">
        <f>月兔寻宝10.5w!D22</f>
        <v>2960</v>
      </c>
      <c r="R9" s="51"/>
    </row>
    <row r="10" spans="1:21" ht="28.2">
      <c r="B10" s="38" t="s">
        <v>37</v>
      </c>
      <c r="C10" s="34" t="s">
        <v>158</v>
      </c>
      <c r="D10" s="34" t="str">
        <f>月兔寻宝10.5w!E22</f>
        <v>第2档</v>
      </c>
      <c r="E10" s="34">
        <f>月兔寻宝10.5w!E15</f>
        <v>50</v>
      </c>
      <c r="F10" s="34">
        <f>月兔寻宝10.5w!E16</f>
        <v>241</v>
      </c>
      <c r="G10" s="34">
        <f>月兔寻宝10.5w!E18</f>
        <v>12</v>
      </c>
      <c r="H10" s="35">
        <f>月兔寻宝10.5w!E28</f>
        <v>2750</v>
      </c>
      <c r="I10" s="39">
        <f>月兔寻宝10.5w!E29</f>
        <v>40.5</v>
      </c>
      <c r="J10" s="83">
        <f>月兔寻宝10.5w!F22</f>
        <v>2900.5</v>
      </c>
      <c r="R10" s="51"/>
    </row>
    <row r="11" spans="1:21" ht="28.2">
      <c r="B11" s="38" t="s">
        <v>38</v>
      </c>
      <c r="C11" s="34" t="s">
        <v>158</v>
      </c>
      <c r="D11" s="34" t="str">
        <f>月兔寻宝10.5w!G22</f>
        <v>第2档</v>
      </c>
      <c r="E11" s="35">
        <f>月兔寻宝10.5w!G15</f>
        <v>50</v>
      </c>
      <c r="F11" s="35">
        <f>月兔寻宝10.5w!G16</f>
        <v>334</v>
      </c>
      <c r="G11" s="35">
        <f>月兔寻宝10.5w!G18</f>
        <v>18</v>
      </c>
      <c r="H11" s="35">
        <f>月兔寻宝10.5w!G28</f>
        <v>5500</v>
      </c>
      <c r="I11" s="39">
        <f>月兔寻宝10.5w!G29</f>
        <v>81</v>
      </c>
      <c r="J11" s="83">
        <f>月兔寻宝10.5w!H22</f>
        <v>2900.5</v>
      </c>
      <c r="R11" s="51"/>
    </row>
    <row r="12" spans="1:21" ht="28.2">
      <c r="B12" s="38" t="s">
        <v>39</v>
      </c>
      <c r="C12" s="34" t="s">
        <v>158</v>
      </c>
      <c r="D12" s="34" t="str">
        <f>月兔寻宝10.5w!I22</f>
        <v>第2档</v>
      </c>
      <c r="E12" s="35">
        <f>月兔寻宝10.5w!I15</f>
        <v>50</v>
      </c>
      <c r="F12" s="35">
        <f>月兔寻宝10.5w!I16</f>
        <v>427</v>
      </c>
      <c r="G12" s="35">
        <f>月兔寻宝10.5w!I18</f>
        <v>24</v>
      </c>
      <c r="H12" s="35">
        <f>月兔寻宝10.5w!I28</f>
        <v>8250</v>
      </c>
      <c r="I12" s="39">
        <f>月兔寻宝10.5w!I29</f>
        <v>121.5</v>
      </c>
      <c r="J12" s="83">
        <f>月兔寻宝10.5w!J22</f>
        <v>2900.5</v>
      </c>
      <c r="R12" s="51"/>
    </row>
    <row r="13" spans="1:21" ht="28.2">
      <c r="B13" s="38" t="s">
        <v>40</v>
      </c>
      <c r="C13" s="34" t="s">
        <v>158</v>
      </c>
      <c r="D13" s="34" t="str">
        <f>月兔寻宝10.5w!K22</f>
        <v>第2档</v>
      </c>
      <c r="E13" s="34">
        <f>月兔寻宝10.5w!K15</f>
        <v>50</v>
      </c>
      <c r="F13" s="34">
        <f>月兔寻宝10.5w!K16</f>
        <v>520</v>
      </c>
      <c r="G13" s="34">
        <f>月兔寻宝10.5w!K18</f>
        <v>30</v>
      </c>
      <c r="H13" s="35">
        <f>月兔寻宝10.5w!K28</f>
        <v>11000</v>
      </c>
      <c r="I13" s="39">
        <f>月兔寻宝10.5w!K29</f>
        <v>162</v>
      </c>
      <c r="J13" s="83">
        <f>月兔寻宝10.5w!L22</f>
        <v>2900.5</v>
      </c>
      <c r="R13" s="51"/>
    </row>
    <row r="14" spans="1:21" ht="28.2">
      <c r="B14" s="38" t="s">
        <v>41</v>
      </c>
      <c r="C14" s="34" t="s">
        <v>158</v>
      </c>
      <c r="D14" s="34" t="str">
        <f>月兔寻宝10.5w!M22</f>
        <v>第2档</v>
      </c>
      <c r="E14" s="34">
        <f>月兔寻宝10.5w!M15</f>
        <v>50</v>
      </c>
      <c r="F14" s="34">
        <f>月兔寻宝10.5w!M16</f>
        <v>613</v>
      </c>
      <c r="G14" s="34">
        <f>月兔寻宝10.5w!M18</f>
        <v>36</v>
      </c>
      <c r="H14" s="35">
        <f>月兔寻宝10.5w!M28</f>
        <v>13750</v>
      </c>
      <c r="I14" s="39">
        <f>月兔寻宝10.5w!M29</f>
        <v>202.5</v>
      </c>
      <c r="J14" s="83">
        <f>月兔寻宝10.5w!N22</f>
        <v>2900.5</v>
      </c>
      <c r="R14" s="51"/>
    </row>
    <row r="15" spans="1:21" ht="48.6" thickBot="1">
      <c r="A15" s="33" t="s">
        <v>179</v>
      </c>
      <c r="B15" s="45" t="s">
        <v>42</v>
      </c>
      <c r="C15" s="47" t="s">
        <v>159</v>
      </c>
      <c r="D15" s="47" t="str">
        <f>月兔寻宝10.5w!O22</f>
        <v>第3档</v>
      </c>
      <c r="E15" s="46">
        <f>月兔寻宝10.5w!O15</f>
        <v>756</v>
      </c>
      <c r="F15" s="46">
        <f>月兔寻宝10.5w!O16</f>
        <v>0</v>
      </c>
      <c r="G15" s="46">
        <f>月兔寻宝10.5w!O18</f>
        <v>0</v>
      </c>
      <c r="H15" s="47">
        <f>月兔寻宝10.5w!O28</f>
        <v>52430</v>
      </c>
      <c r="I15" s="48">
        <f>月兔寻宝10.5w!O29</f>
        <v>1468.63</v>
      </c>
      <c r="J15" s="83">
        <f>月兔寻宝10.5w!P22</f>
        <v>4126.13</v>
      </c>
      <c r="R15" s="51"/>
    </row>
    <row r="16" spans="1:21" ht="21" customHeight="1" thickTop="1" thickBot="1">
      <c r="B16" s="88"/>
      <c r="C16" s="89"/>
      <c r="D16" s="90"/>
      <c r="E16" s="89"/>
      <c r="F16" s="89"/>
      <c r="G16" s="89"/>
      <c r="H16" s="90"/>
      <c r="I16" s="91"/>
      <c r="R16" s="51"/>
    </row>
    <row r="17" spans="2:18" ht="18.45" customHeight="1" thickTop="1">
      <c r="B17" s="185" t="s">
        <v>43</v>
      </c>
      <c r="C17" s="186"/>
      <c r="D17" s="186"/>
      <c r="E17" s="186"/>
      <c r="F17" s="186"/>
      <c r="G17" s="186"/>
      <c r="H17" s="186"/>
      <c r="I17" s="187"/>
      <c r="R17" s="51"/>
    </row>
    <row r="18" spans="2:18" ht="66" customHeight="1" thickBot="1">
      <c r="B18" s="188" t="s">
        <v>167</v>
      </c>
      <c r="C18" s="189"/>
      <c r="D18" s="189"/>
      <c r="E18" s="189"/>
      <c r="F18" s="189"/>
      <c r="G18" s="189"/>
      <c r="H18" s="189"/>
      <c r="I18" s="190"/>
      <c r="R18" s="51"/>
    </row>
    <row r="19" spans="2:18" ht="34.5" customHeight="1" thickTop="1">
      <c r="B19" s="53" t="s">
        <v>88</v>
      </c>
      <c r="C19" s="53"/>
      <c r="D19" s="53"/>
      <c r="E19" s="53"/>
      <c r="F19" s="53"/>
      <c r="G19" s="53"/>
      <c r="H19" s="53"/>
      <c r="I19" s="53"/>
      <c r="R19" s="51"/>
    </row>
    <row r="20" spans="2:18" ht="12.9" customHeight="1">
      <c r="B20" s="53"/>
      <c r="C20" s="53"/>
      <c r="D20" s="53"/>
      <c r="E20" s="53"/>
      <c r="F20" s="53"/>
      <c r="G20" s="53"/>
      <c r="H20" s="53"/>
      <c r="I20" s="53"/>
      <c r="R20" s="51"/>
    </row>
    <row r="21" spans="2:18" ht="15.6" customHeight="1">
      <c r="R21" s="51"/>
    </row>
    <row r="22" spans="2:18" ht="16.2" customHeight="1">
      <c r="B22" s="54"/>
      <c r="C22" s="54"/>
      <c r="D22" s="54"/>
      <c r="E22" s="54"/>
      <c r="F22" s="54"/>
      <c r="G22" s="54"/>
      <c r="H22" s="54"/>
      <c r="I22" s="54"/>
      <c r="R22" s="51"/>
    </row>
    <row r="23" spans="2:18" ht="15.3" customHeight="1">
      <c r="B23" s="54"/>
      <c r="C23" s="54"/>
      <c r="D23" s="54"/>
      <c r="E23" s="54"/>
      <c r="F23" s="54"/>
      <c r="G23" s="54"/>
      <c r="H23" s="54"/>
      <c r="I23" s="54"/>
      <c r="R23" s="51"/>
    </row>
    <row r="24" spans="2:18" ht="22.95" customHeight="1">
      <c r="B24" s="54"/>
      <c r="C24" s="54"/>
      <c r="D24" s="54"/>
      <c r="E24" s="54"/>
      <c r="F24" s="54"/>
      <c r="G24" s="54"/>
      <c r="H24" s="54"/>
      <c r="I24" s="54"/>
      <c r="R24" s="51"/>
    </row>
    <row r="25" spans="2:18" ht="22.95" customHeight="1">
      <c r="N25" s="51"/>
      <c r="O25" s="51"/>
      <c r="P25" s="51"/>
      <c r="Q25" s="51"/>
      <c r="R25" s="51"/>
    </row>
    <row r="26" spans="2:18" ht="22.95" customHeight="1">
      <c r="N26" s="51"/>
      <c r="O26" s="51"/>
      <c r="P26" s="51"/>
      <c r="Q26" s="51"/>
      <c r="R26" s="51"/>
    </row>
    <row r="27" spans="2:18" ht="15.6" customHeight="1">
      <c r="N27" s="51"/>
      <c r="O27" s="51"/>
      <c r="P27" s="51"/>
      <c r="Q27" s="51"/>
      <c r="R27" s="51"/>
    </row>
    <row r="28" spans="2:18" ht="20.55" customHeight="1">
      <c r="N28" s="51"/>
      <c r="O28" s="51"/>
      <c r="P28" s="51"/>
      <c r="Q28" s="51"/>
      <c r="R28" s="51"/>
    </row>
    <row r="29" spans="2:18" ht="15.6" customHeight="1">
      <c r="N29" s="51"/>
      <c r="O29" s="51"/>
      <c r="P29" s="51"/>
      <c r="Q29" s="51"/>
      <c r="R29" s="51"/>
    </row>
    <row r="30" spans="2:18" ht="17.850000000000001" customHeight="1"/>
  </sheetData>
  <mergeCells count="10">
    <mergeCell ref="B17:I17"/>
    <mergeCell ref="B18:I18"/>
    <mergeCell ref="B6:I7"/>
    <mergeCell ref="B2:I2"/>
    <mergeCell ref="B5:C5"/>
    <mergeCell ref="B3:C4"/>
    <mergeCell ref="G3:I4"/>
    <mergeCell ref="G5:I5"/>
    <mergeCell ref="D3:F4"/>
    <mergeCell ref="D5:F5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A9EE-C0A0-4545-8921-2C2CCBE8E194}">
  <dimension ref="B1:S75"/>
  <sheetViews>
    <sheetView tabSelected="1" workbookViewId="0">
      <selection activeCell="P5" sqref="P5"/>
    </sheetView>
  </sheetViews>
  <sheetFormatPr defaultRowHeight="15.6"/>
  <cols>
    <col min="1" max="1" width="3.77734375" style="1" customWidth="1"/>
    <col min="2" max="2" width="16.10937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213" t="s">
        <v>25</v>
      </c>
      <c r="D2" s="214"/>
      <c r="E2" s="213" t="s">
        <v>26</v>
      </c>
      <c r="F2" s="214"/>
      <c r="G2" s="213" t="s">
        <v>27</v>
      </c>
      <c r="H2" s="214"/>
      <c r="I2" s="213" t="s">
        <v>28</v>
      </c>
      <c r="J2" s="214"/>
      <c r="K2" s="213" t="s">
        <v>29</v>
      </c>
      <c r="L2" s="214"/>
      <c r="M2" s="213" t="s">
        <v>30</v>
      </c>
      <c r="N2" s="214"/>
      <c r="O2" s="213" t="s">
        <v>31</v>
      </c>
      <c r="P2" s="214"/>
    </row>
    <row r="3" spans="2:16" ht="16.2" thickBot="1">
      <c r="B3" s="15"/>
      <c r="C3" s="3" t="str">
        <f>抽奖道具</f>
        <v>月兔券</v>
      </c>
      <c r="D3" s="4" t="s">
        <v>6</v>
      </c>
      <c r="E3" s="3" t="str">
        <f>抽奖道具</f>
        <v>月兔券</v>
      </c>
      <c r="F3" s="4" t="s">
        <v>6</v>
      </c>
      <c r="G3" s="3" t="str">
        <f>抽奖道具</f>
        <v>月兔券</v>
      </c>
      <c r="H3" s="4" t="s">
        <v>6</v>
      </c>
      <c r="I3" s="3" t="str">
        <f>抽奖道具</f>
        <v>月兔券</v>
      </c>
      <c r="J3" s="4" t="s">
        <v>6</v>
      </c>
      <c r="K3" s="3" t="str">
        <f>抽奖道具</f>
        <v>月兔券</v>
      </c>
      <c r="L3" s="4" t="s">
        <v>6</v>
      </c>
      <c r="M3" s="3" t="str">
        <f>抽奖道具</f>
        <v>月兔券</v>
      </c>
      <c r="N3" s="4" t="s">
        <v>6</v>
      </c>
      <c r="O3" s="3" t="str">
        <f>抽奖道具</f>
        <v>月兔券</v>
      </c>
      <c r="P3" s="4" t="s">
        <v>6</v>
      </c>
    </row>
    <row r="4" spans="2:16" ht="16.2" thickTop="1">
      <c r="B4" s="58" t="s">
        <v>53</v>
      </c>
      <c r="C4" s="3">
        <v>5</v>
      </c>
      <c r="D4" s="4">
        <f t="shared" ref="D4:P12" si="0">C4*积分规则1</f>
        <v>100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2" si="6">O4*积分规则1</f>
        <v>0</v>
      </c>
    </row>
    <row r="5" spans="2:16">
      <c r="B5" s="15" t="s">
        <v>32</v>
      </c>
      <c r="C5" s="3">
        <v>43</v>
      </c>
      <c r="D5" s="4">
        <f t="shared" si="0"/>
        <v>860</v>
      </c>
      <c r="E5" s="3">
        <v>43</v>
      </c>
      <c r="F5" s="4">
        <f t="shared" si="1"/>
        <v>860</v>
      </c>
      <c r="G5" s="3">
        <v>43</v>
      </c>
      <c r="H5" s="4">
        <f t="shared" si="2"/>
        <v>860</v>
      </c>
      <c r="I5" s="3">
        <v>43</v>
      </c>
      <c r="J5" s="4">
        <f t="shared" si="3"/>
        <v>860</v>
      </c>
      <c r="K5" s="3">
        <v>43</v>
      </c>
      <c r="L5" s="4">
        <f t="shared" si="4"/>
        <v>860</v>
      </c>
      <c r="M5" s="3">
        <v>43</v>
      </c>
      <c r="N5" s="4">
        <f t="shared" si="5"/>
        <v>860</v>
      </c>
      <c r="O5" s="3">
        <v>43</v>
      </c>
      <c r="P5" s="4">
        <f t="shared" si="6"/>
        <v>860</v>
      </c>
    </row>
    <row r="6" spans="2:16">
      <c r="B6" s="16" t="s">
        <v>17</v>
      </c>
      <c r="C6" s="3">
        <v>100</v>
      </c>
      <c r="D6" s="4">
        <f t="shared" si="0"/>
        <v>2000</v>
      </c>
      <c r="E6" s="3">
        <v>100</v>
      </c>
      <c r="F6" s="4">
        <f t="shared" si="1"/>
        <v>2000</v>
      </c>
      <c r="G6" s="3">
        <v>100</v>
      </c>
      <c r="H6" s="4">
        <f t="shared" si="2"/>
        <v>2000</v>
      </c>
      <c r="I6" s="3">
        <v>0</v>
      </c>
      <c r="J6" s="4">
        <f t="shared" si="3"/>
        <v>0</v>
      </c>
      <c r="K6" s="3">
        <v>0</v>
      </c>
      <c r="L6" s="4">
        <f t="shared" si="4"/>
        <v>0</v>
      </c>
      <c r="M6" s="3">
        <v>0</v>
      </c>
      <c r="N6" s="4">
        <f t="shared" si="5"/>
        <v>0</v>
      </c>
      <c r="O6" s="3">
        <v>0</v>
      </c>
      <c r="P6" s="4">
        <f t="shared" si="6"/>
        <v>0</v>
      </c>
    </row>
    <row r="7" spans="2:16">
      <c r="B7" s="80" t="s">
        <v>49</v>
      </c>
      <c r="C7" s="3"/>
      <c r="D7" s="4">
        <f t="shared" si="0"/>
        <v>0</v>
      </c>
      <c r="E7" s="3"/>
      <c r="F7" s="4">
        <f t="shared" si="1"/>
        <v>0</v>
      </c>
      <c r="G7" s="3"/>
      <c r="H7" s="4">
        <f t="shared" si="2"/>
        <v>0</v>
      </c>
      <c r="I7" s="3">
        <v>0</v>
      </c>
      <c r="J7" s="4">
        <f t="shared" si="3"/>
        <v>0</v>
      </c>
      <c r="K7" s="3">
        <v>0</v>
      </c>
      <c r="L7" s="4">
        <f t="shared" si="4"/>
        <v>0</v>
      </c>
      <c r="M7" s="3">
        <v>0</v>
      </c>
      <c r="N7" s="4">
        <f t="shared" si="5"/>
        <v>0</v>
      </c>
      <c r="O7" s="3">
        <v>0</v>
      </c>
      <c r="P7" s="4">
        <f t="shared" si="6"/>
        <v>0</v>
      </c>
    </row>
    <row r="8" spans="2:16">
      <c r="B8" s="15" t="s">
        <v>50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>
      <c r="B9" s="15" t="s">
        <v>58</v>
      </c>
      <c r="C9" s="3">
        <v>0</v>
      </c>
      <c r="D9" s="4">
        <f t="shared" si="0"/>
        <v>0</v>
      </c>
      <c r="E9" s="3">
        <v>0</v>
      </c>
      <c r="F9" s="4">
        <f t="shared" si="0"/>
        <v>0</v>
      </c>
      <c r="G9" s="3">
        <v>0</v>
      </c>
      <c r="H9" s="4">
        <f t="shared" si="0"/>
        <v>0</v>
      </c>
      <c r="I9" s="3">
        <v>0</v>
      </c>
      <c r="J9" s="4">
        <f t="shared" si="0"/>
        <v>0</v>
      </c>
      <c r="K9" s="3">
        <v>0</v>
      </c>
      <c r="L9" s="4">
        <f t="shared" si="0"/>
        <v>0</v>
      </c>
      <c r="M9" s="3">
        <v>0</v>
      </c>
      <c r="N9" s="4">
        <f t="shared" si="0"/>
        <v>0</v>
      </c>
      <c r="O9" s="3">
        <v>0</v>
      </c>
      <c r="P9" s="4">
        <f t="shared" si="0"/>
        <v>0</v>
      </c>
    </row>
    <row r="10" spans="2:16" ht="16.2" thickBot="1">
      <c r="B10" s="59" t="s">
        <v>92</v>
      </c>
      <c r="C10" s="3">
        <v>0</v>
      </c>
      <c r="D10" s="4">
        <f>C10*积分规则1</f>
        <v>0</v>
      </c>
      <c r="E10" s="3">
        <v>0</v>
      </c>
      <c r="F10" s="4">
        <f>E10*积分规则1</f>
        <v>0</v>
      </c>
      <c r="G10" s="3">
        <v>0</v>
      </c>
      <c r="H10" s="4">
        <f>G10*积分规则1</f>
        <v>0</v>
      </c>
      <c r="I10" s="3">
        <v>0</v>
      </c>
      <c r="J10" s="4">
        <f>I10*积分规则1</f>
        <v>0</v>
      </c>
      <c r="K10" s="3">
        <v>0</v>
      </c>
      <c r="L10" s="4">
        <f>K10*积分规则1</f>
        <v>0</v>
      </c>
      <c r="M10" s="3">
        <v>0</v>
      </c>
      <c r="N10" s="4">
        <f>M10*积分规则1</f>
        <v>0</v>
      </c>
      <c r="O10" s="3">
        <v>0</v>
      </c>
      <c r="P10" s="4">
        <f>O10*积分规则1</f>
        <v>0</v>
      </c>
    </row>
    <row r="11" spans="2:16" ht="16.2" thickTop="1">
      <c r="B11" s="60" t="s">
        <v>51</v>
      </c>
      <c r="C11" s="3"/>
      <c r="D11" s="4">
        <f t="shared" si="0"/>
        <v>0</v>
      </c>
      <c r="E11" s="3"/>
      <c r="F11" s="4">
        <f t="shared" si="1"/>
        <v>0</v>
      </c>
      <c r="G11" s="3"/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/>
      <c r="N11" s="4">
        <f t="shared" si="5"/>
        <v>0</v>
      </c>
      <c r="O11" s="3"/>
      <c r="P11" s="4">
        <f t="shared" si="6"/>
        <v>0</v>
      </c>
    </row>
    <row r="12" spans="2:16" ht="16.2" thickBot="1">
      <c r="B12" s="61" t="s">
        <v>52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16" ht="16.2" thickTop="1">
      <c r="B13" s="69" t="str">
        <f>"使用"&amp;抽奖道具</f>
        <v>使用月兔券</v>
      </c>
      <c r="C13" s="3">
        <v>0</v>
      </c>
      <c r="D13" s="4">
        <f>C13*积分规则3</f>
        <v>0</v>
      </c>
      <c r="E13" s="3">
        <v>50</v>
      </c>
      <c r="F13" s="4">
        <f>E13*积分规则3</f>
        <v>40.5</v>
      </c>
      <c r="G13" s="3">
        <v>50</v>
      </c>
      <c r="H13" s="4">
        <f>G13*积分规则3</f>
        <v>40.5</v>
      </c>
      <c r="I13" s="3">
        <v>0</v>
      </c>
      <c r="J13" s="4">
        <f>I13*积分规则3</f>
        <v>0</v>
      </c>
      <c r="K13" s="3">
        <v>0</v>
      </c>
      <c r="L13" s="4">
        <f>K13*积分规则3</f>
        <v>0</v>
      </c>
      <c r="M13" s="3">
        <v>0</v>
      </c>
      <c r="N13" s="4">
        <f>M13*积分规则3</f>
        <v>0</v>
      </c>
      <c r="O13" s="3">
        <v>506</v>
      </c>
      <c r="P13" s="4">
        <f>O13*积分规则3</f>
        <v>409.86</v>
      </c>
    </row>
    <row r="14" spans="2:16" ht="16.2" thickBot="1">
      <c r="B14" s="62" t="str">
        <f>"剩余"&amp;抽奖道具</f>
        <v>剩余月兔券</v>
      </c>
      <c r="C14" s="3">
        <f>C22-C13</f>
        <v>148</v>
      </c>
      <c r="D14" s="4"/>
      <c r="E14" s="3">
        <f>C14+SUM(E4:E12)-E13</f>
        <v>241</v>
      </c>
      <c r="F14" s="4"/>
      <c r="G14" s="3">
        <f>E14+SUM(G4:G12)-G13</f>
        <v>334</v>
      </c>
      <c r="H14" s="4"/>
      <c r="I14" s="3">
        <f>G14+SUM(I4:I12)-I13</f>
        <v>377</v>
      </c>
      <c r="J14" s="4"/>
      <c r="K14" s="3">
        <f>I14+SUM(K4:K12)-K13</f>
        <v>420</v>
      </c>
      <c r="L14" s="4"/>
      <c r="M14" s="3">
        <f>K14+SUM(M4:M12)-M13</f>
        <v>463</v>
      </c>
      <c r="N14" s="4"/>
      <c r="O14" s="3">
        <f>M14+SUM(O4:O12)-O13</f>
        <v>0</v>
      </c>
      <c r="P14" s="4"/>
    </row>
    <row r="15" spans="2:16" ht="16.2" thickTop="1">
      <c r="B15" s="63" t="s">
        <v>33</v>
      </c>
      <c r="C15" s="3">
        <v>0</v>
      </c>
      <c r="D15" s="4">
        <f>C15*随机箱积分</f>
        <v>0</v>
      </c>
      <c r="E15" s="3">
        <v>0</v>
      </c>
      <c r="F15" s="4">
        <f>E15*随机箱积分</f>
        <v>0</v>
      </c>
      <c r="G15" s="3">
        <v>0</v>
      </c>
      <c r="H15" s="4">
        <f>G15*随机箱积分</f>
        <v>0</v>
      </c>
      <c r="I15" s="3">
        <v>0</v>
      </c>
      <c r="J15" s="4">
        <f>I15*随机箱积分</f>
        <v>0</v>
      </c>
      <c r="K15" s="3">
        <v>0</v>
      </c>
      <c r="L15" s="4">
        <f>K15*随机箱积分</f>
        <v>0</v>
      </c>
      <c r="M15" s="3">
        <v>0</v>
      </c>
      <c r="N15" s="4">
        <f>M15*随机箱积分</f>
        <v>0</v>
      </c>
      <c r="O15" s="3">
        <v>18</v>
      </c>
      <c r="P15" s="68">
        <f>O15*随机箱积分</f>
        <v>184.58999999999997</v>
      </c>
    </row>
    <row r="16" spans="2:16" ht="16.2" thickBot="1">
      <c r="B16" s="62" t="s">
        <v>34</v>
      </c>
      <c r="C16" s="3">
        <f>C24-SUM(C15)</f>
        <v>6</v>
      </c>
      <c r="D16" s="4"/>
      <c r="E16" s="3">
        <f>E24-SUM(C15,E15)</f>
        <v>12</v>
      </c>
      <c r="F16" s="4"/>
      <c r="G16" s="3">
        <f>G24-SUM(C15,E15,G15)</f>
        <v>18</v>
      </c>
      <c r="H16" s="4"/>
      <c r="I16" s="3">
        <f>I24-SUM(C15,E15,G15,I15)</f>
        <v>18</v>
      </c>
      <c r="J16" s="4"/>
      <c r="K16" s="3">
        <f>K24-SUM(C15,E15,G15,I15,K15)</f>
        <v>18</v>
      </c>
      <c r="L16" s="4"/>
      <c r="M16" s="3">
        <f>M24-SUM(C15,E15,G15,I15,K15,M15)</f>
        <v>18</v>
      </c>
      <c r="N16" s="4"/>
      <c r="O16" s="3">
        <f>O24-SUM(C15,E15,G15,I15,K15,M15,O15)</f>
        <v>0</v>
      </c>
      <c r="P16" s="4"/>
    </row>
    <row r="17" spans="2:16" ht="16.2" thickTop="1">
      <c r="B17" s="64" t="s">
        <v>152</v>
      </c>
      <c r="C17" s="3">
        <v>0</v>
      </c>
      <c r="D17" s="4">
        <f>C17*1</f>
        <v>0</v>
      </c>
      <c r="E17" s="3"/>
      <c r="F17" s="4">
        <f>E17*1</f>
        <v>0</v>
      </c>
      <c r="G17" s="3"/>
      <c r="H17" s="4">
        <f>G17*1</f>
        <v>0</v>
      </c>
      <c r="I17" s="3"/>
      <c r="J17" s="4">
        <f>I17*1</f>
        <v>0</v>
      </c>
      <c r="K17" s="3"/>
      <c r="L17" s="4">
        <f>K17*1</f>
        <v>0</v>
      </c>
      <c r="M17" s="3"/>
      <c r="N17" s="4">
        <f>M17*1</f>
        <v>0</v>
      </c>
      <c r="O17" s="3">
        <v>100</v>
      </c>
      <c r="P17" s="4">
        <f>O17*1</f>
        <v>100</v>
      </c>
    </row>
    <row r="18" spans="2:16">
      <c r="B18" s="15" t="s">
        <v>54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2" thickBot="1">
      <c r="B19" s="15" t="s">
        <v>54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71" t="s">
        <v>56</v>
      </c>
      <c r="C20" s="72" t="str">
        <f>IFERROR(LOOKUP(D20,档位积分1:档位积分5,第1档:第5档),"无奖励")</f>
        <v>第2档</v>
      </c>
      <c r="D20" s="73">
        <f>SUM(D4:D13)+D15+SUM(D17:D19)</f>
        <v>2960</v>
      </c>
      <c r="E20" s="74" t="str">
        <f>IFERROR(LOOKUP(F20,档位积分1:档位积分5,第1档:第5档),"无奖励")</f>
        <v>第2档</v>
      </c>
      <c r="F20" s="73">
        <f>SUM(F4:F13)+F15+SUM(F17:F19)</f>
        <v>2900.5</v>
      </c>
      <c r="G20" s="74" t="str">
        <f>IFERROR(LOOKUP(H20,档位积分1:档位积分5,第1档:第5档),"无奖励")</f>
        <v>第2档</v>
      </c>
      <c r="H20" s="73">
        <f>SUM(H4:H13)+H15+SUM(H17:H19)</f>
        <v>2900.5</v>
      </c>
      <c r="I20" s="74" t="str">
        <f>IFERROR(LOOKUP(J20,档位积分1:档位积分5,第1档:第5档),"无奖励")</f>
        <v>第1档</v>
      </c>
      <c r="J20" s="73">
        <f>SUM(J4:J13)+J15+SUM(J17:J19)</f>
        <v>860</v>
      </c>
      <c r="K20" s="74" t="str">
        <f>IFERROR(LOOKUP(L20,档位积分1:档位积分5,第1档:第5档),"无奖励")</f>
        <v>第1档</v>
      </c>
      <c r="L20" s="73">
        <f>SUM(L4:L13)+L15+SUM(L17:L19)</f>
        <v>860</v>
      </c>
      <c r="M20" s="74" t="str">
        <f>IFERROR(LOOKUP(N20,档位积分1:档位积分5,第1档:第5档),"无奖励")</f>
        <v>第1档</v>
      </c>
      <c r="N20" s="73">
        <f>SUM(N4:N13)+N15+SUM(N17:N19)</f>
        <v>860</v>
      </c>
      <c r="O20" s="74" t="str">
        <f>IFERROR(LOOKUP(P20,档位积分1:档位积分5,第1档:第5档),"无奖励")</f>
        <v>第1档</v>
      </c>
      <c r="P20" s="73">
        <f>SUM(P4:P13)+P15+SUM(P17:P19)</f>
        <v>1554.45</v>
      </c>
    </row>
    <row r="21" spans="2:16" ht="16.8" thickTop="1" thickBot="1">
      <c r="B21" s="58" t="s">
        <v>57</v>
      </c>
      <c r="C21" s="56" t="str">
        <f>IF(D20&gt;=MAX(档位积分1:档位积分5), "已是最高档",
   IF(D20&lt;MIN(档位积分1:档位积分5), INDEX(第1档:第5档, 1),
      INDEX(第1档:第5档, MATCH(D20, 档位积分1:档位积分5, 1)+1)))</f>
        <v>第3档</v>
      </c>
      <c r="D21" s="79">
        <f>IF(D20&gt;=MAX(档位积分1:档位积分5), "",
   IF(D20&lt;MIN(档位积分1:档位积分5), MIN(档位积分1:档位积分5),
      INDEX(档位积分1:档位积分5, MATCH(D20, 档位积分1:档位积分5, 1)+1)))</f>
        <v>4000</v>
      </c>
      <c r="E21" s="56" t="str">
        <f>IF(F20&gt;=MAX(档位积分1:档位积分5), "已是最高档",
   IF(F20&lt;MIN(档位积分1:档位积分5), INDEX(第1档:第5档, 1),
      INDEX(第1档:第5档, MATCH(F20, 档位积分1:档位积分5, 1)+1)))</f>
        <v>第3档</v>
      </c>
      <c r="F21" s="79">
        <f>IF(F20&gt;=MAX(档位积分1:档位积分5), "",
   IF(F20&lt;MIN(档位积分1:档位积分5), MIN(档位积分1:档位积分5),
      INDEX(档位积分1:档位积分5, MATCH(F20, 档位积分1:档位积分5, 1)+1)))</f>
        <v>4000</v>
      </c>
      <c r="G21" s="56" t="str">
        <f>IF(H20&gt;=MAX(档位积分1:档位积分5), "已是最高档",
   IF(H20&lt;MIN(档位积分1:档位积分5), INDEX(第1档:第5档, 1),
      INDEX(第1档:第5档, MATCH(H20, 档位积分1:档位积分5, 1)+1)))</f>
        <v>第3档</v>
      </c>
      <c r="H21" s="79">
        <f>IF(H20&gt;=MAX(档位积分1:档位积分5), "",
   IF(H20&lt;MIN(档位积分1:档位积分5), MIN(档位积分1:档位积分5),
      INDEX(档位积分1:档位积分5, MATCH(H20, 档位积分1:档位积分5, 1)+1)))</f>
        <v>4000</v>
      </c>
      <c r="I21" s="56" t="str">
        <f>IF(J20&gt;=MAX(档位积分1:档位积分5), "已是最高档",
   IF(J20&lt;MIN(档位积分1:档位积分5), INDEX(第1档:第5档, 1),
      INDEX(第1档:第5档, MATCH(J20, 档位积分1:档位积分5, 1)+1)))</f>
        <v>第2档</v>
      </c>
      <c r="J21" s="79">
        <f>IF(J20&gt;=MAX(档位积分1:档位积分5), "",
   IF(J20&lt;MIN(档位积分1:档位积分5), MIN(档位积分1:档位积分5),
      INDEX(档位积分1:档位积分5, MATCH(J20, 档位积分1:档位积分5, 1)+1)))</f>
        <v>2900</v>
      </c>
      <c r="K21" s="56" t="str">
        <f>IF(L20&gt;=MAX(档位积分1:档位积分5), "已是最高档",
   IF(L20&lt;MIN(档位积分1:档位积分5), INDEX(第1档:第5档, 1),
      INDEX(第1档:第5档, MATCH(L20, 档位积分1:档位积分5, 1)+1)))</f>
        <v>第2档</v>
      </c>
      <c r="L21" s="79">
        <f>IF(L20&gt;=MAX(档位积分1:档位积分5), "",
   IF(L20&lt;MIN(档位积分1:档位积分5), MIN(档位积分1:档位积分5),
      INDEX(档位积分1:档位积分5, MATCH(L20, 档位积分1:档位积分5, 1)+1)))</f>
        <v>2900</v>
      </c>
      <c r="M21" s="56" t="str">
        <f>IF(N20&gt;=MAX(档位积分1:档位积分5), "已是最高档",
   IF(N20&lt;MIN(档位积分1:档位积分5), INDEX(第1档:第5档, 1),
      INDEX(第1档:第5档, MATCH(N20, 档位积分1:档位积分5, 1)+1)))</f>
        <v>第2档</v>
      </c>
      <c r="N21" s="79">
        <f>IF(N20&gt;=MAX(档位积分1:档位积分5), "",
   IF(N20&lt;MIN(档位积分1:档位积分5), MIN(档位积分1:档位积分5),
      INDEX(档位积分1:档位积分5, MATCH(N20, 档位积分1:档位积分5, 1)+1)))</f>
        <v>2900</v>
      </c>
      <c r="O21" s="56" t="str">
        <f>IF(P20&gt;=MAX(档位积分1:档位积分5), "已是最高档",
   IF(P20&lt;MIN(档位积分1:档位积分5), INDEX(第1档:第5档, 1),
      INDEX(第1档:第5档, MATCH(P20, 档位积分1:档位积分5, 1)+1)))</f>
        <v>第2档</v>
      </c>
      <c r="P21" s="79">
        <f>IF(P20&gt;=MAX(档位积分1:档位积分5), "",
   IF(P20&lt;MIN(档位积分1:档位积分5), MIN(档位积分1:档位积分5),
      INDEX(档位积分1:档位积分5, MATCH(P20, 档位积分1:档位积分5, 1)+1)))</f>
        <v>2900</v>
      </c>
    </row>
    <row r="22" spans="2:16" ht="16.2" thickTop="1">
      <c r="B22" s="70" t="str">
        <f>"总"&amp;抽奖道具</f>
        <v>总月兔券</v>
      </c>
      <c r="C22" s="56">
        <f>SUM(C4:C12)</f>
        <v>148</v>
      </c>
      <c r="D22" s="57">
        <f>C22*积分规则3</f>
        <v>119.88000000000001</v>
      </c>
      <c r="E22" s="56">
        <f>C22+SUM(E4:E12)</f>
        <v>291</v>
      </c>
      <c r="F22" s="57">
        <v>0</v>
      </c>
      <c r="G22" s="56">
        <f>E22+SUM(G4:G12)</f>
        <v>434</v>
      </c>
      <c r="H22" s="57">
        <v>0</v>
      </c>
      <c r="I22" s="56">
        <f>G22+SUM(I4:I12)</f>
        <v>477</v>
      </c>
      <c r="J22" s="57">
        <v>0</v>
      </c>
      <c r="K22" s="56">
        <f>I22+SUM(K4:K12)</f>
        <v>520</v>
      </c>
      <c r="L22" s="57">
        <v>0</v>
      </c>
      <c r="M22" s="56">
        <f>K22+SUM(M4:M12)</f>
        <v>563</v>
      </c>
      <c r="N22" s="57">
        <v>0</v>
      </c>
      <c r="O22" s="56">
        <f>M22+SUM(O4:O12)</f>
        <v>606</v>
      </c>
      <c r="P22" s="57">
        <v>0</v>
      </c>
    </row>
    <row r="23" spans="2:16">
      <c r="B23" s="92" t="s">
        <v>93</v>
      </c>
      <c r="C23" s="3">
        <f>C13</f>
        <v>0</v>
      </c>
      <c r="D23" s="4"/>
      <c r="E23" s="3">
        <f>C23+E13</f>
        <v>50</v>
      </c>
      <c r="F23" s="4"/>
      <c r="G23" s="3">
        <f>G13+E23</f>
        <v>100</v>
      </c>
      <c r="H23" s="4"/>
      <c r="I23" s="3">
        <f>I13+G23</f>
        <v>100</v>
      </c>
      <c r="J23" s="4"/>
      <c r="K23" s="3">
        <f>K13+I23</f>
        <v>100</v>
      </c>
      <c r="L23" s="4"/>
      <c r="M23" s="3">
        <f>M13+K23</f>
        <v>100</v>
      </c>
      <c r="N23" s="4"/>
      <c r="O23" s="3">
        <f>O13+M23</f>
        <v>606</v>
      </c>
      <c r="P23" s="4"/>
    </row>
    <row r="24" spans="2:16" ht="16.2" thickBot="1">
      <c r="B24" s="55" t="s">
        <v>55</v>
      </c>
      <c r="C24" s="5">
        <f>IFERROR(LOOKUP(D20,档位积分1:档位积分5,档位奖励1:档位奖励5),0)</f>
        <v>6</v>
      </c>
      <c r="D24" s="13">
        <f>C24*随机箱积分</f>
        <v>61.529999999999994</v>
      </c>
      <c r="E24" s="5">
        <f>IFERROR(LOOKUP(F20,档位积分1:档位积分5,档位奖励1:档位奖励5),0)+C24</f>
        <v>12</v>
      </c>
      <c r="F24" s="13">
        <f>E24*随机箱积分</f>
        <v>123.05999999999999</v>
      </c>
      <c r="G24" s="5">
        <f>IFERROR(LOOKUP(H20,档位积分1:档位积分5,档位奖励1:档位奖励5),0)+E24</f>
        <v>18</v>
      </c>
      <c r="H24" s="13">
        <f>G24*随机箱积分</f>
        <v>184.58999999999997</v>
      </c>
      <c r="I24" s="5">
        <f>IFERROR(LOOKUP(J20,档位积分1:档位积分5,档位奖励1:档位奖励5),0)+G24</f>
        <v>18</v>
      </c>
      <c r="J24" s="13">
        <f>I24*随机箱积分</f>
        <v>184.58999999999997</v>
      </c>
      <c r="K24" s="5">
        <f>IFERROR(LOOKUP(L20,档位积分1:档位积分5,档位奖励1:档位奖励5),0)+I24</f>
        <v>18</v>
      </c>
      <c r="L24" s="13">
        <f>K24*随机箱积分</f>
        <v>184.58999999999997</v>
      </c>
      <c r="M24" s="5">
        <f>IFERROR(LOOKUP(N20,档位积分1:档位积分5,档位奖励1:档位奖励5),0)+K24</f>
        <v>18</v>
      </c>
      <c r="N24" s="13">
        <f>M24*随机箱积分</f>
        <v>184.58999999999997</v>
      </c>
      <c r="O24" s="5">
        <f>IFERROR(LOOKUP(P20,档位积分1:档位积分5,档位奖励1:档位奖励5),0)+M24</f>
        <v>18</v>
      </c>
      <c r="P24" s="13">
        <f>O24*随机箱积分</f>
        <v>184.58999999999997</v>
      </c>
    </row>
    <row r="25" spans="2:16" ht="16.2" thickTop="1">
      <c r="B25" s="58" t="str">
        <f>普通兑换道具</f>
        <v>桃花兔灯</v>
      </c>
      <c r="C25" s="75">
        <f>C13*普通兑换道具抽奖期望</f>
        <v>0</v>
      </c>
      <c r="D25" s="57"/>
      <c r="E25" s="75">
        <f>E13*普通兑换道具抽奖期望+C25</f>
        <v>2750</v>
      </c>
      <c r="F25" s="76"/>
      <c r="G25" s="75">
        <f>G13*普通兑换道具抽奖期望+E25</f>
        <v>5500</v>
      </c>
      <c r="H25" s="76"/>
      <c r="I25" s="75">
        <f>I13*普通兑换道具抽奖期望+G25</f>
        <v>5500</v>
      </c>
      <c r="J25" s="76"/>
      <c r="K25" s="75">
        <f>K13*普通兑换道具抽奖期望+I25</f>
        <v>5500</v>
      </c>
      <c r="L25" s="76"/>
      <c r="M25" s="75">
        <f>M13*普通兑换道具抽奖期望+K25</f>
        <v>5500</v>
      </c>
      <c r="N25" s="76"/>
      <c r="O25" s="75">
        <f>O13*普通兑换道具抽奖期望+M25-2900</f>
        <v>30430</v>
      </c>
      <c r="P25" s="57"/>
    </row>
    <row r="26" spans="2:16" ht="16.2" thickBot="1">
      <c r="B26" s="59" t="str">
        <f>高级兑换道具</f>
        <v>华彩兔灯</v>
      </c>
      <c r="C26" s="77">
        <f>C13*高级兑换道具抽奖期望+C15*随机箱高级道具期望</f>
        <v>0</v>
      </c>
      <c r="D26" s="13"/>
      <c r="E26" s="77">
        <f>E13*高级兑换道具抽奖期望+E15*随机箱高级道具期望+C26</f>
        <v>40.5</v>
      </c>
      <c r="F26" s="78"/>
      <c r="G26" s="77">
        <f>G13*高级兑换道具抽奖期望+G15*随机箱高级道具期望+E26</f>
        <v>81</v>
      </c>
      <c r="H26" s="78"/>
      <c r="I26" s="77">
        <f>I13*高级兑换道具抽奖期望+I15*随机箱高级道具期望+G26</f>
        <v>81</v>
      </c>
      <c r="J26" s="78"/>
      <c r="K26" s="77">
        <f>K13*高级兑换道具抽奖期望+K15*随机箱高级道具期望+I26</f>
        <v>81</v>
      </c>
      <c r="L26" s="78"/>
      <c r="M26" s="77">
        <f>M13*高级兑换道具抽奖期望+M15*随机箱高级道具期望+K26</f>
        <v>81</v>
      </c>
      <c r="N26" s="78"/>
      <c r="O26" s="93">
        <f>O13*高级兑换道具抽奖期望+O15*随机箱高级道具期望+M26+O17</f>
        <v>775.45</v>
      </c>
      <c r="P26" s="13"/>
    </row>
    <row r="27" spans="2:16" ht="16.2" thickTop="1">
      <c r="B27" s="142" t="s">
        <v>47</v>
      </c>
      <c r="C27" s="20">
        <v>0</v>
      </c>
      <c r="D27" s="21">
        <v>0</v>
      </c>
      <c r="E27" s="20">
        <v>0</v>
      </c>
      <c r="F27" s="21">
        <v>0</v>
      </c>
      <c r="G27" s="20">
        <v>0</v>
      </c>
      <c r="H27" s="21">
        <v>0</v>
      </c>
      <c r="I27" s="20">
        <v>0</v>
      </c>
      <c r="J27" s="21">
        <v>0</v>
      </c>
      <c r="K27" s="20">
        <v>0</v>
      </c>
      <c r="L27" s="21">
        <v>0</v>
      </c>
      <c r="M27" s="20">
        <v>0</v>
      </c>
      <c r="N27" s="21">
        <v>0</v>
      </c>
      <c r="O27" s="20">
        <v>0</v>
      </c>
      <c r="P27" s="21">
        <v>0</v>
      </c>
    </row>
    <row r="28" spans="2:16">
      <c r="B28" s="215"/>
      <c r="C28" s="65">
        <v>0</v>
      </c>
      <c r="D28" s="26">
        <v>0</v>
      </c>
      <c r="E28" s="65">
        <v>0</v>
      </c>
      <c r="F28" s="26">
        <v>0</v>
      </c>
      <c r="G28" s="65">
        <v>0</v>
      </c>
      <c r="H28" s="26">
        <v>0</v>
      </c>
      <c r="I28" s="65">
        <v>0</v>
      </c>
      <c r="J28" s="26">
        <v>0</v>
      </c>
      <c r="K28" s="65">
        <v>0</v>
      </c>
      <c r="L28" s="26">
        <v>0</v>
      </c>
      <c r="M28" s="65">
        <v>0</v>
      </c>
      <c r="N28" s="26">
        <v>0</v>
      </c>
      <c r="O28" s="65">
        <v>0</v>
      </c>
      <c r="P28" s="26">
        <v>0</v>
      </c>
    </row>
    <row r="29" spans="2:16" ht="16.2" thickBot="1">
      <c r="B29" s="143"/>
      <c r="C29" s="66"/>
      <c r="D29" s="67"/>
      <c r="E29" s="66"/>
      <c r="F29" s="67"/>
      <c r="G29" s="66"/>
      <c r="H29" s="67"/>
      <c r="I29" s="66"/>
      <c r="J29" s="67"/>
      <c r="K29" s="66"/>
      <c r="L29" s="67"/>
      <c r="M29" s="66"/>
      <c r="N29" s="67"/>
      <c r="O29" s="66"/>
      <c r="P29" s="67"/>
    </row>
    <row r="30" spans="2:16" ht="16.2" thickTop="1">
      <c r="B30" s="215" t="s">
        <v>48</v>
      </c>
      <c r="C30" s="20">
        <f>IFERROR(LOOKUP(C27,价格6:价格648,翡翠100:翡翠10000),0)</f>
        <v>0</v>
      </c>
      <c r="D30" s="21">
        <f>IFERROR(LOOKUP(D27,价格6:价格648,翡翠100:翡翠10000),0)</f>
        <v>0</v>
      </c>
      <c r="E30" s="20">
        <f>IFERROR(LOOKUP(E27,价格6:价格648,翡翠100:翡翠10000),0)</f>
        <v>0</v>
      </c>
      <c r="F30" s="21">
        <f>IFERROR(LOOKUP(F27,价格6:价格648,翡翠100:翡翠10000),0)</f>
        <v>0</v>
      </c>
      <c r="G30" s="20">
        <f>IFERROR(LOOKUP(G27,价格6:价格648,翡翠100:翡翠10000),0)</f>
        <v>0</v>
      </c>
      <c r="H30" s="21">
        <f>IFERROR(LOOKUP(H27,价格6:价格648,翡翠100:翡翠10000),0)</f>
        <v>0</v>
      </c>
      <c r="I30" s="20">
        <f>IFERROR(LOOKUP(I27,价格6:价格648,翡翠100:翡翠10000),0)</f>
        <v>0</v>
      </c>
      <c r="J30" s="21">
        <f>IFERROR(LOOKUP(J27,价格6:价格648,翡翠100:翡翠10000),0)</f>
        <v>0</v>
      </c>
      <c r="K30" s="20">
        <f>IFERROR(LOOKUP(K27,价格6:价格648,翡翠100:翡翠10000),0)</f>
        <v>0</v>
      </c>
      <c r="L30" s="21">
        <f>IFERROR(LOOKUP(L27,价格6:价格648,翡翠100:翡翠10000),0)</f>
        <v>0</v>
      </c>
      <c r="M30" s="20">
        <f>IFERROR(LOOKUP(M27,价格6:价格648,翡翠100:翡翠10000),0)</f>
        <v>0</v>
      </c>
      <c r="N30" s="21">
        <f>IFERROR(LOOKUP(N27,价格6:价格648,翡翠100:翡翠10000),0)</f>
        <v>0</v>
      </c>
      <c r="O30" s="20">
        <f>IFERROR(LOOKUP(O27,价格6:价格648,翡翠100:翡翠10000),0)</f>
        <v>0</v>
      </c>
      <c r="P30" s="21">
        <f>IFERROR(LOOKUP(P27,价格6:价格648,翡翠100:翡翠10000),0)</f>
        <v>0</v>
      </c>
    </row>
    <row r="31" spans="2:16">
      <c r="B31" s="215"/>
      <c r="C31" s="65">
        <f>IFERROR(LOOKUP(C28,价格6:价格648,翡翠100:翡翠10000),0)</f>
        <v>0</v>
      </c>
      <c r="D31" s="26">
        <f>IFERROR(LOOKUP(D28,价格6:价格648,翡翠100:翡翠10000),0)</f>
        <v>0</v>
      </c>
      <c r="E31" s="65">
        <f>IFERROR(LOOKUP(E28,价格6:价格648,翡翠100:翡翠10000),0)</f>
        <v>0</v>
      </c>
      <c r="F31" s="26">
        <f>IFERROR(LOOKUP(F28,价格6:价格648,翡翠100:翡翠10000),0)</f>
        <v>0</v>
      </c>
      <c r="G31" s="65">
        <f>IFERROR(LOOKUP(G28,价格6:价格648,翡翠100:翡翠10000),0)</f>
        <v>0</v>
      </c>
      <c r="H31" s="26">
        <f>IFERROR(LOOKUP(H28,价格6:价格648,翡翠100:翡翠10000),0)</f>
        <v>0</v>
      </c>
      <c r="I31" s="65">
        <f>IFERROR(LOOKUP(I28,价格6:价格648,翡翠100:翡翠10000),0)</f>
        <v>0</v>
      </c>
      <c r="J31" s="26">
        <f>IFERROR(LOOKUP(J28,价格6:价格648,翡翠100:翡翠10000),0)</f>
        <v>0</v>
      </c>
      <c r="K31" s="65">
        <f>IFERROR(LOOKUP(K28,价格6:价格648,翡翠100:翡翠10000),0)</f>
        <v>0</v>
      </c>
      <c r="L31" s="26">
        <f>IFERROR(LOOKUP(L28,价格6:价格648,翡翠100:翡翠10000),0)</f>
        <v>0</v>
      </c>
      <c r="M31" s="65">
        <f>IFERROR(LOOKUP(M28,价格6:价格648,翡翠100:翡翠10000),0)</f>
        <v>0</v>
      </c>
      <c r="N31" s="26">
        <f>IFERROR(LOOKUP(N28,价格6:价格648,翡翠100:翡翠10000),0)</f>
        <v>0</v>
      </c>
      <c r="O31" s="65">
        <f>IFERROR(LOOKUP(O28,价格6:价格648,翡翠100:翡翠10000),0)</f>
        <v>0</v>
      </c>
      <c r="P31" s="26">
        <v>0</v>
      </c>
    </row>
    <row r="32" spans="2:16" ht="16.2" thickBot="1">
      <c r="B32" s="143"/>
      <c r="C32" s="66"/>
      <c r="D32" s="67"/>
      <c r="E32" s="66"/>
      <c r="F32" s="67"/>
      <c r="G32" s="66"/>
      <c r="H32" s="67"/>
      <c r="I32" s="66"/>
      <c r="J32" s="67"/>
      <c r="K32" s="66"/>
      <c r="L32" s="67"/>
      <c r="M32" s="66"/>
      <c r="N32" s="67"/>
      <c r="O32" s="66"/>
      <c r="P32" s="67"/>
    </row>
    <row r="33" spans="2:19" ht="24.6" customHeight="1" thickTop="1">
      <c r="B33" s="215" t="s">
        <v>46</v>
      </c>
      <c r="C33" s="216">
        <f>SUM(C6,E6,G6,I6,K6,M6,O6)*钻石购买</f>
        <v>45000</v>
      </c>
      <c r="D33" s="217"/>
      <c r="E33" s="217"/>
      <c r="F33" s="217"/>
      <c r="G33" s="217"/>
      <c r="H33" s="217"/>
      <c r="I33" s="218" t="str">
        <f>SUM(C27:P29) &amp;"元"</f>
        <v>0元</v>
      </c>
      <c r="J33" s="218"/>
      <c r="K33" s="218"/>
      <c r="L33" s="218"/>
      <c r="M33" s="219" t="str">
        <f>SUM(C30:P32) &amp; "翡翠"</f>
        <v>0翡翠</v>
      </c>
      <c r="N33" s="219"/>
      <c r="O33" s="219"/>
      <c r="P33" s="220"/>
    </row>
    <row r="34" spans="2:19" ht="22.8" thickBot="1">
      <c r="B34" s="143"/>
      <c r="C34" s="221" t="str">
        <f>"最终收益："&amp;ROUNDDOWN(O26,0)&amp;B26&amp;"+"&amp;ROUNDDOWN(O25,0)&amp;B25</f>
        <v>最终收益：775华彩兔灯+30430桃花兔灯</v>
      </c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3"/>
    </row>
    <row r="35" spans="2:19" ht="16.2" thickTop="1"/>
    <row r="39" spans="2:19" ht="38.4" customHeight="1"/>
    <row r="40" spans="2:19" ht="17.7" customHeight="1">
      <c r="B40" s="27"/>
      <c r="C40" s="27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6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2:19" ht="17.7" customHeight="1">
      <c r="B42" s="27"/>
      <c r="C42" s="49"/>
      <c r="D42" s="50"/>
      <c r="E42" s="50"/>
      <c r="F42" s="50"/>
      <c r="G42" s="50"/>
      <c r="H42" s="50"/>
      <c r="I42" s="50"/>
      <c r="J42" s="50"/>
      <c r="K42" s="10"/>
      <c r="L42" s="10"/>
      <c r="M42" s="10"/>
      <c r="N42" s="10"/>
      <c r="O42" s="10"/>
      <c r="P42" s="10"/>
    </row>
    <row r="43" spans="2:19" ht="17.7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2:19">
      <c r="F44" s="141"/>
      <c r="G44" s="141"/>
      <c r="H44" s="141"/>
      <c r="I44" s="141"/>
      <c r="K44" s="135"/>
      <c r="L44" s="135"/>
      <c r="M44" s="135"/>
      <c r="N44" s="135"/>
      <c r="P44" s="135"/>
      <c r="Q44" s="135"/>
      <c r="R44" s="135"/>
      <c r="S44" s="135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6"/>
      <c r="R47" s="6"/>
      <c r="S47" s="6"/>
    </row>
    <row r="48" spans="2:19">
      <c r="K48" s="6"/>
      <c r="L48" s="6"/>
      <c r="M48" s="6"/>
      <c r="N48" s="6"/>
      <c r="P48" s="25"/>
      <c r="R48" s="25"/>
      <c r="S48" s="6"/>
    </row>
    <row r="49" spans="2:16">
      <c r="G49" s="28"/>
      <c r="H49" s="28"/>
      <c r="I49" s="28"/>
      <c r="K49" s="6"/>
      <c r="M49" s="6"/>
      <c r="N49" s="6"/>
      <c r="O49" s="6"/>
      <c r="P49" s="6"/>
    </row>
    <row r="50" spans="2:16">
      <c r="F50" s="6"/>
      <c r="G50" s="6"/>
      <c r="H50" s="6"/>
      <c r="K50" s="6"/>
      <c r="M50" s="6"/>
      <c r="N50" s="6"/>
      <c r="O50" s="6"/>
      <c r="P50" s="6"/>
    </row>
    <row r="51" spans="2:16">
      <c r="B51" s="136"/>
      <c r="C51" s="136"/>
      <c r="D51" s="136"/>
      <c r="K51" s="135"/>
      <c r="L51" s="135"/>
      <c r="M51" s="135"/>
      <c r="N51" s="135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K54" s="6"/>
      <c r="M54" s="6"/>
      <c r="N54" s="6"/>
      <c r="P54" s="25"/>
    </row>
    <row r="55" spans="2:16">
      <c r="B55" s="136"/>
      <c r="C55" s="136"/>
      <c r="D55" s="136"/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K59" s="6"/>
      <c r="M59" s="6"/>
      <c r="N59" s="6"/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  <row r="75" spans="16:16">
      <c r="P75" s="25"/>
    </row>
  </sheetData>
  <mergeCells count="20">
    <mergeCell ref="O2:P2"/>
    <mergeCell ref="B27:B29"/>
    <mergeCell ref="B30:B32"/>
    <mergeCell ref="B33:B34"/>
    <mergeCell ref="C33:H33"/>
    <mergeCell ref="I33:L33"/>
    <mergeCell ref="M33:P33"/>
    <mergeCell ref="C34:P34"/>
    <mergeCell ref="C2:D2"/>
    <mergeCell ref="E2:F2"/>
    <mergeCell ref="G2:H2"/>
    <mergeCell ref="I2:J2"/>
    <mergeCell ref="K2:L2"/>
    <mergeCell ref="M2:N2"/>
    <mergeCell ref="K44:N44"/>
    <mergeCell ref="P44:S44"/>
    <mergeCell ref="B51:D51"/>
    <mergeCell ref="K51:N51"/>
    <mergeCell ref="B55:D55"/>
    <mergeCell ref="F44:I44"/>
  </mergeCells>
  <phoneticPr fontId="20" type="noConversion"/>
  <conditionalFormatting sqref="B6:P6">
    <cfRule type="cellIs" dxfId="15" priority="4" operator="greaterThan">
      <formula>0</formula>
    </cfRule>
  </conditionalFormatting>
  <conditionalFormatting sqref="B10:P10">
    <cfRule type="cellIs" dxfId="14" priority="1" operator="greaterThan">
      <formula>0</formula>
    </cfRule>
  </conditionalFormatting>
  <conditionalFormatting sqref="B11:P12">
    <cfRule type="cellIs" dxfId="13" priority="3" operator="greaterThan">
      <formula>0</formula>
    </cfRule>
  </conditionalFormatting>
  <conditionalFormatting sqref="C7:P7">
    <cfRule type="cellIs" dxfId="12" priority="2" operator="greaterThan">
      <formula>0</formula>
    </cfRule>
  </conditionalFormatting>
  <conditionalFormatting sqref="C13:P13">
    <cfRule type="cellIs" dxfId="11" priority="7" operator="greaterThan">
      <formula>0</formula>
    </cfRule>
  </conditionalFormatting>
  <conditionalFormatting sqref="C15:P15">
    <cfRule type="cellIs" dxfId="10" priority="5" operator="greaterThan">
      <formula>0</formula>
    </cfRule>
  </conditionalFormatting>
  <conditionalFormatting sqref="C17:P17">
    <cfRule type="cellIs" dxfId="9" priority="6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9A15-7F39-452B-AB9B-F504F290EEC5}">
  <dimension ref="A1:U30"/>
  <sheetViews>
    <sheetView topLeftCell="A7" workbookViewId="0">
      <selection activeCell="J15" sqref="J15"/>
    </sheetView>
  </sheetViews>
  <sheetFormatPr defaultRowHeight="15.6"/>
  <cols>
    <col min="1" max="1" width="9.33203125" style="33" customWidth="1"/>
    <col min="2" max="2" width="8.88671875" style="33" customWidth="1"/>
    <col min="3" max="3" width="53.109375" style="33" customWidth="1"/>
    <col min="4" max="4" width="9.109375" style="33" bestFit="1" customWidth="1"/>
    <col min="5" max="7" width="11.109375" style="33" bestFit="1" customWidth="1"/>
    <col min="8" max="9" width="15.77734375" style="33" customWidth="1"/>
    <col min="10" max="10" width="13.6640625" style="33" customWidth="1"/>
    <col min="11" max="11" width="17.44140625" style="33" customWidth="1"/>
    <col min="12" max="12" width="16.77734375" style="33" customWidth="1"/>
    <col min="13" max="13" width="14.109375" style="33" customWidth="1"/>
    <col min="14" max="14" width="8.88671875" style="33"/>
    <col min="15" max="15" width="17.44140625" style="33" customWidth="1"/>
    <col min="16" max="16384" width="8.88671875" style="33"/>
  </cols>
  <sheetData>
    <row r="1" spans="1:21" ht="16.2" thickBot="1"/>
    <row r="2" spans="1:21" ht="24" customHeight="1" thickTop="1" thickBot="1">
      <c r="B2" s="197" t="s">
        <v>169</v>
      </c>
      <c r="C2" s="198"/>
      <c r="D2" s="198"/>
      <c r="E2" s="198"/>
      <c r="F2" s="198"/>
      <c r="G2" s="198"/>
      <c r="H2" s="198"/>
      <c r="I2" s="199"/>
      <c r="R2" s="51"/>
    </row>
    <row r="3" spans="1:21" ht="17.55" customHeight="1" thickTop="1">
      <c r="B3" s="202" t="s">
        <v>45</v>
      </c>
      <c r="C3" s="203"/>
      <c r="D3" s="202" t="str">
        <f>"期望"&amp;普通兑换道具</f>
        <v>期望桃花兔灯</v>
      </c>
      <c r="E3" s="206"/>
      <c r="F3" s="203"/>
      <c r="G3" s="206" t="str">
        <f>"期望"&amp;高级兑换道具</f>
        <v>期望华彩兔灯</v>
      </c>
      <c r="H3" s="206"/>
      <c r="I3" s="203"/>
      <c r="R3" s="51"/>
    </row>
    <row r="4" spans="1:21" ht="12.6" customHeight="1">
      <c r="B4" s="204"/>
      <c r="C4" s="205"/>
      <c r="D4" s="204"/>
      <c r="E4" s="207"/>
      <c r="F4" s="205"/>
      <c r="G4" s="207"/>
      <c r="H4" s="207"/>
      <c r="I4" s="205"/>
      <c r="R4" s="51"/>
      <c r="T4" s="52"/>
      <c r="U4" s="52"/>
    </row>
    <row r="5" spans="1:21" ht="20.85" customHeight="1" thickBot="1">
      <c r="B5" s="200">
        <f>月兔寻宝4.5w!C33</f>
        <v>45000</v>
      </c>
      <c r="C5" s="201"/>
      <c r="D5" s="210">
        <f>月兔寻宝4.5w!O25</f>
        <v>30430</v>
      </c>
      <c r="E5" s="211"/>
      <c r="F5" s="212"/>
      <c r="G5" s="208">
        <f>月兔寻宝4.5w!O26</f>
        <v>775.45</v>
      </c>
      <c r="H5" s="208"/>
      <c r="I5" s="209"/>
      <c r="R5" s="51"/>
      <c r="T5" s="52"/>
      <c r="U5" s="52"/>
    </row>
    <row r="6" spans="1:21" ht="17.55" customHeight="1" thickTop="1">
      <c r="B6" s="191" t="s">
        <v>168</v>
      </c>
      <c r="C6" s="192"/>
      <c r="D6" s="192"/>
      <c r="E6" s="192"/>
      <c r="F6" s="192"/>
      <c r="G6" s="192"/>
      <c r="H6" s="192"/>
      <c r="I6" s="193"/>
      <c r="R6" s="51"/>
    </row>
    <row r="7" spans="1:21" ht="17.55" customHeight="1" thickBot="1">
      <c r="B7" s="194"/>
      <c r="C7" s="195"/>
      <c r="D7" s="195"/>
      <c r="E7" s="195"/>
      <c r="F7" s="195"/>
      <c r="G7" s="195"/>
      <c r="H7" s="195"/>
      <c r="I7" s="196"/>
      <c r="R7" s="51"/>
    </row>
    <row r="8" spans="1:21" ht="32.4" customHeight="1" thickTop="1">
      <c r="A8" s="43" t="s">
        <v>95</v>
      </c>
      <c r="B8" s="42" t="s">
        <v>35</v>
      </c>
      <c r="C8" s="43" t="s">
        <v>44</v>
      </c>
      <c r="D8" s="43" t="str">
        <f>月兔寻宝4.5w!B20</f>
        <v>目标档位</v>
      </c>
      <c r="E8" s="43" t="str">
        <f>月兔寻宝4.5w!B13</f>
        <v>使用月兔券</v>
      </c>
      <c r="F8" s="43" t="str">
        <f>月兔寻宝4.5w!B14</f>
        <v>剩余月兔券</v>
      </c>
      <c r="G8" s="43" t="str">
        <f>月兔寻宝4.5w!B16</f>
        <v>剩余随机箱</v>
      </c>
      <c r="H8" s="43" t="str">
        <f>"期望"&amp;普通兑换道具</f>
        <v>期望桃花兔灯</v>
      </c>
      <c r="I8" s="44" t="str">
        <f>"期望"&amp;高级兑换道具</f>
        <v>期望华彩兔灯</v>
      </c>
      <c r="J8" s="44" t="s">
        <v>94</v>
      </c>
      <c r="R8" s="51"/>
    </row>
    <row r="9" spans="1:21" ht="36">
      <c r="B9" s="40" t="s">
        <v>36</v>
      </c>
      <c r="C9" s="36" t="s">
        <v>157</v>
      </c>
      <c r="D9" s="36" t="str">
        <f>月兔寻宝4.5w!C20</f>
        <v>第2档</v>
      </c>
      <c r="E9" s="36">
        <f>月兔寻宝4.5w!C13</f>
        <v>0</v>
      </c>
      <c r="F9" s="36">
        <f>月兔寻宝4.5w!C14</f>
        <v>148</v>
      </c>
      <c r="G9" s="36">
        <f>月兔寻宝4.5w!C16</f>
        <v>6</v>
      </c>
      <c r="H9" s="37">
        <f>月兔寻宝4.5w!C25</f>
        <v>0</v>
      </c>
      <c r="I9" s="41">
        <f>月兔寻宝4.5w!C26</f>
        <v>0</v>
      </c>
      <c r="J9" s="83">
        <f>月兔寻宝4.5w!D20</f>
        <v>2960</v>
      </c>
      <c r="R9" s="51"/>
    </row>
    <row r="10" spans="1:21" ht="28.2">
      <c r="B10" s="38" t="s">
        <v>37</v>
      </c>
      <c r="C10" s="34" t="s">
        <v>158</v>
      </c>
      <c r="D10" s="34" t="str">
        <f>月兔寻宝4.5w!E20</f>
        <v>第2档</v>
      </c>
      <c r="E10" s="34">
        <f>月兔寻宝4.5w!E13</f>
        <v>50</v>
      </c>
      <c r="F10" s="34">
        <f>月兔寻宝4.5w!E14</f>
        <v>241</v>
      </c>
      <c r="G10" s="34">
        <f>月兔寻宝4.5w!E16</f>
        <v>12</v>
      </c>
      <c r="H10" s="35">
        <f>月兔寻宝4.5w!E25</f>
        <v>2750</v>
      </c>
      <c r="I10" s="39">
        <f>月兔寻宝4.5w!E26</f>
        <v>40.5</v>
      </c>
      <c r="J10" s="83">
        <f>月兔寻宝4.5w!F20</f>
        <v>2900.5</v>
      </c>
      <c r="R10" s="51"/>
    </row>
    <row r="11" spans="1:21" ht="28.2">
      <c r="B11" s="38" t="s">
        <v>38</v>
      </c>
      <c r="C11" s="34" t="s">
        <v>158</v>
      </c>
      <c r="D11" s="34" t="str">
        <f>月兔寻宝4.5w!G20</f>
        <v>第2档</v>
      </c>
      <c r="E11" s="35">
        <f>月兔寻宝4.5w!G13</f>
        <v>50</v>
      </c>
      <c r="F11" s="35">
        <f>月兔寻宝4.5w!G14</f>
        <v>334</v>
      </c>
      <c r="G11" s="35">
        <f>月兔寻宝4.5w!G16</f>
        <v>18</v>
      </c>
      <c r="H11" s="35">
        <f>月兔寻宝4.5w!G25</f>
        <v>5500</v>
      </c>
      <c r="I11" s="39">
        <f>月兔寻宝4.5w!G26</f>
        <v>81</v>
      </c>
      <c r="J11" s="83">
        <f>月兔寻宝4.5w!H20</f>
        <v>2900.5</v>
      </c>
      <c r="R11" s="51"/>
    </row>
    <row r="12" spans="1:21" ht="28.2">
      <c r="B12" s="38" t="s">
        <v>39</v>
      </c>
      <c r="C12" s="34" t="s">
        <v>170</v>
      </c>
      <c r="D12" s="34" t="str">
        <f>月兔寻宝4.5w!I20</f>
        <v>第1档</v>
      </c>
      <c r="E12" s="35">
        <f>月兔寻宝4.5w!I13</f>
        <v>0</v>
      </c>
      <c r="F12" s="35">
        <f>月兔寻宝4.5w!I14</f>
        <v>377</v>
      </c>
      <c r="G12" s="35">
        <f>月兔寻宝4.5w!I16</f>
        <v>18</v>
      </c>
      <c r="H12" s="35">
        <f>月兔寻宝4.5w!I25</f>
        <v>5500</v>
      </c>
      <c r="I12" s="39">
        <f>月兔寻宝4.5w!I26</f>
        <v>81</v>
      </c>
      <c r="J12" s="83">
        <f>月兔寻宝4.5w!J20</f>
        <v>860</v>
      </c>
      <c r="R12" s="51"/>
    </row>
    <row r="13" spans="1:21" ht="28.2">
      <c r="B13" s="38" t="s">
        <v>40</v>
      </c>
      <c r="C13" s="34" t="s">
        <v>170</v>
      </c>
      <c r="D13" s="34" t="str">
        <f>月兔寻宝4.5w!K20</f>
        <v>第1档</v>
      </c>
      <c r="E13" s="34">
        <f>月兔寻宝4.5w!K13</f>
        <v>0</v>
      </c>
      <c r="F13" s="34">
        <f>月兔寻宝4.5w!K14</f>
        <v>420</v>
      </c>
      <c r="G13" s="34">
        <f>月兔寻宝4.5w!K16</f>
        <v>18</v>
      </c>
      <c r="H13" s="35">
        <f>月兔寻宝4.5w!K25</f>
        <v>5500</v>
      </c>
      <c r="I13" s="39">
        <f>月兔寻宝4.5w!K26</f>
        <v>81</v>
      </c>
      <c r="J13" s="83">
        <f>月兔寻宝4.5w!L20</f>
        <v>860</v>
      </c>
      <c r="R13" s="51"/>
    </row>
    <row r="14" spans="1:21" ht="28.2">
      <c r="B14" s="38" t="s">
        <v>41</v>
      </c>
      <c r="C14" s="34" t="s">
        <v>170</v>
      </c>
      <c r="D14" s="34" t="str">
        <f>月兔寻宝4.5w!M20</f>
        <v>第1档</v>
      </c>
      <c r="E14" s="34">
        <f>月兔寻宝4.5w!M13</f>
        <v>0</v>
      </c>
      <c r="F14" s="34">
        <f>月兔寻宝4.5w!M14</f>
        <v>463</v>
      </c>
      <c r="G14" s="34">
        <f>月兔寻宝4.5w!M16</f>
        <v>18</v>
      </c>
      <c r="H14" s="35">
        <f>月兔寻宝4.5w!M25</f>
        <v>5500</v>
      </c>
      <c r="I14" s="39">
        <f>月兔寻宝4.5w!M26</f>
        <v>81</v>
      </c>
      <c r="J14" s="83">
        <f>月兔寻宝4.5w!N20</f>
        <v>860</v>
      </c>
      <c r="R14" s="51"/>
    </row>
    <row r="15" spans="1:21" ht="48.6" thickBot="1">
      <c r="A15" s="33" t="s">
        <v>179</v>
      </c>
      <c r="B15" s="45" t="s">
        <v>42</v>
      </c>
      <c r="C15" s="47" t="s">
        <v>171</v>
      </c>
      <c r="D15" s="47" t="str">
        <f>月兔寻宝4.5w!O20</f>
        <v>第1档</v>
      </c>
      <c r="E15" s="46">
        <f>月兔寻宝4.5w!O13</f>
        <v>506</v>
      </c>
      <c r="F15" s="46">
        <f>月兔寻宝4.5w!O14</f>
        <v>0</v>
      </c>
      <c r="G15" s="46">
        <f>月兔寻宝4.5w!O16</f>
        <v>0</v>
      </c>
      <c r="H15" s="47">
        <f>月兔寻宝4.5w!O25</f>
        <v>30430</v>
      </c>
      <c r="I15" s="48">
        <f>月兔寻宝4.5w!O26</f>
        <v>775.45</v>
      </c>
      <c r="J15" s="83">
        <f>月兔寻宝4.5w!P20</f>
        <v>1554.45</v>
      </c>
      <c r="R15" s="51"/>
    </row>
    <row r="16" spans="1:21" ht="21" customHeight="1" thickTop="1" thickBot="1">
      <c r="B16" s="88"/>
      <c r="C16" s="89"/>
      <c r="D16" s="90"/>
      <c r="E16" s="89"/>
      <c r="F16" s="89"/>
      <c r="G16" s="89"/>
      <c r="H16" s="90"/>
      <c r="I16" s="91"/>
      <c r="R16" s="51"/>
    </row>
    <row r="17" spans="2:18" ht="18.45" customHeight="1" thickTop="1">
      <c r="B17" s="185" t="s">
        <v>43</v>
      </c>
      <c r="C17" s="186"/>
      <c r="D17" s="186"/>
      <c r="E17" s="186"/>
      <c r="F17" s="186"/>
      <c r="G17" s="186"/>
      <c r="H17" s="186"/>
      <c r="I17" s="187"/>
      <c r="R17" s="51"/>
    </row>
    <row r="18" spans="2:18" ht="66" customHeight="1" thickBot="1">
      <c r="B18" s="188" t="s">
        <v>172</v>
      </c>
      <c r="C18" s="189"/>
      <c r="D18" s="189"/>
      <c r="E18" s="189"/>
      <c r="F18" s="189"/>
      <c r="G18" s="189"/>
      <c r="H18" s="189"/>
      <c r="I18" s="190"/>
      <c r="R18" s="51"/>
    </row>
    <row r="19" spans="2:18" ht="34.5" customHeight="1" thickTop="1">
      <c r="B19" s="53" t="s">
        <v>88</v>
      </c>
      <c r="C19" s="53"/>
      <c r="D19" s="53"/>
      <c r="E19" s="53"/>
      <c r="F19" s="53"/>
      <c r="G19" s="53"/>
      <c r="H19" s="53"/>
      <c r="I19" s="53"/>
      <c r="R19" s="51"/>
    </row>
    <row r="20" spans="2:18" ht="12.9" customHeight="1">
      <c r="B20" s="53"/>
      <c r="C20" s="53"/>
      <c r="D20" s="53"/>
      <c r="E20" s="53"/>
      <c r="F20" s="53"/>
      <c r="G20" s="53"/>
      <c r="H20" s="53"/>
      <c r="I20" s="53"/>
      <c r="R20" s="51"/>
    </row>
    <row r="21" spans="2:18" ht="15.6" customHeight="1">
      <c r="R21" s="51"/>
    </row>
    <row r="22" spans="2:18" ht="16.2" customHeight="1">
      <c r="B22" s="54"/>
      <c r="C22" s="54"/>
      <c r="D22" s="54"/>
      <c r="E22" s="54"/>
      <c r="F22" s="54"/>
      <c r="G22" s="54"/>
      <c r="H22" s="54"/>
      <c r="I22" s="54"/>
      <c r="R22" s="51"/>
    </row>
    <row r="23" spans="2:18" ht="15.3" customHeight="1">
      <c r="B23" s="54"/>
      <c r="C23" s="54"/>
      <c r="D23" s="54"/>
      <c r="E23" s="54"/>
      <c r="F23" s="54"/>
      <c r="G23" s="54"/>
      <c r="H23" s="54"/>
      <c r="I23" s="54"/>
      <c r="R23" s="51"/>
    </row>
    <row r="24" spans="2:18" ht="22.95" customHeight="1">
      <c r="B24" s="54"/>
      <c r="C24" s="54"/>
      <c r="D24" s="54"/>
      <c r="E24" s="54"/>
      <c r="F24" s="54"/>
      <c r="G24" s="54"/>
      <c r="H24" s="54"/>
      <c r="I24" s="54"/>
      <c r="R24" s="51"/>
    </row>
    <row r="25" spans="2:18" ht="22.95" customHeight="1">
      <c r="N25" s="51"/>
      <c r="O25" s="51"/>
      <c r="P25" s="51"/>
      <c r="Q25" s="51"/>
      <c r="R25" s="51"/>
    </row>
    <row r="26" spans="2:18" ht="22.95" customHeight="1">
      <c r="N26" s="51"/>
      <c r="O26" s="51"/>
      <c r="P26" s="51"/>
      <c r="Q26" s="51"/>
      <c r="R26" s="51"/>
    </row>
    <row r="27" spans="2:18" ht="15.6" customHeight="1">
      <c r="N27" s="51"/>
      <c r="O27" s="51"/>
      <c r="P27" s="51"/>
      <c r="Q27" s="51"/>
      <c r="R27" s="51"/>
    </row>
    <row r="28" spans="2:18" ht="20.55" customHeight="1">
      <c r="N28" s="51"/>
      <c r="O28" s="51"/>
      <c r="P28" s="51"/>
      <c r="Q28" s="51"/>
      <c r="R28" s="51"/>
    </row>
    <row r="29" spans="2:18" ht="15.6" customHeight="1">
      <c r="N29" s="51"/>
      <c r="O29" s="51"/>
      <c r="P29" s="51"/>
      <c r="Q29" s="51"/>
      <c r="R29" s="51"/>
    </row>
    <row r="30" spans="2:18" ht="17.850000000000001" customHeight="1"/>
  </sheetData>
  <mergeCells count="10">
    <mergeCell ref="B6:I7"/>
    <mergeCell ref="B17:I17"/>
    <mergeCell ref="B18:I18"/>
    <mergeCell ref="B2:I2"/>
    <mergeCell ref="B3:C4"/>
    <mergeCell ref="D3:F4"/>
    <mergeCell ref="G3:I4"/>
    <mergeCell ref="B5:C5"/>
    <mergeCell ref="D5:F5"/>
    <mergeCell ref="G5:I5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3F1B-8881-45B2-88C9-C25804C91ABA}">
  <dimension ref="B1:S75"/>
  <sheetViews>
    <sheetView topLeftCell="A16" workbookViewId="0">
      <selection activeCell="N10" sqref="N10"/>
    </sheetView>
  </sheetViews>
  <sheetFormatPr defaultRowHeight="15.6"/>
  <cols>
    <col min="1" max="1" width="3.77734375" style="1" customWidth="1"/>
    <col min="2" max="2" width="16.10937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213" t="s">
        <v>25</v>
      </c>
      <c r="D2" s="214"/>
      <c r="E2" s="213" t="s">
        <v>26</v>
      </c>
      <c r="F2" s="214"/>
      <c r="G2" s="213" t="s">
        <v>27</v>
      </c>
      <c r="H2" s="214"/>
      <c r="I2" s="213" t="s">
        <v>28</v>
      </c>
      <c r="J2" s="214"/>
      <c r="K2" s="213" t="s">
        <v>29</v>
      </c>
      <c r="L2" s="214"/>
      <c r="M2" s="213" t="s">
        <v>30</v>
      </c>
      <c r="N2" s="214"/>
      <c r="O2" s="213" t="s">
        <v>31</v>
      </c>
      <c r="P2" s="214"/>
    </row>
    <row r="3" spans="2:16" ht="16.2" thickBot="1">
      <c r="B3" s="15"/>
      <c r="C3" s="3" t="str">
        <f>抽奖道具</f>
        <v>月兔券</v>
      </c>
      <c r="D3" s="4" t="s">
        <v>6</v>
      </c>
      <c r="E3" s="3" t="str">
        <f>抽奖道具</f>
        <v>月兔券</v>
      </c>
      <c r="F3" s="4" t="s">
        <v>6</v>
      </c>
      <c r="G3" s="3" t="str">
        <f>抽奖道具</f>
        <v>月兔券</v>
      </c>
      <c r="H3" s="4" t="s">
        <v>6</v>
      </c>
      <c r="I3" s="3" t="str">
        <f>抽奖道具</f>
        <v>月兔券</v>
      </c>
      <c r="J3" s="4" t="s">
        <v>6</v>
      </c>
      <c r="K3" s="3" t="str">
        <f>抽奖道具</f>
        <v>月兔券</v>
      </c>
      <c r="L3" s="4" t="s">
        <v>6</v>
      </c>
      <c r="M3" s="3" t="str">
        <f>抽奖道具</f>
        <v>月兔券</v>
      </c>
      <c r="N3" s="4" t="s">
        <v>6</v>
      </c>
      <c r="O3" s="3" t="str">
        <f>抽奖道具</f>
        <v>月兔券</v>
      </c>
      <c r="P3" s="4" t="s">
        <v>6</v>
      </c>
    </row>
    <row r="4" spans="2:16" ht="16.2" thickTop="1">
      <c r="B4" s="58" t="s">
        <v>53</v>
      </c>
      <c r="C4" s="3">
        <v>5</v>
      </c>
      <c r="D4" s="4">
        <f t="shared" ref="D4:P12" si="0">C4*积分规则1</f>
        <v>100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2" si="6">O4*积分规则1</f>
        <v>0</v>
      </c>
    </row>
    <row r="5" spans="2:16">
      <c r="B5" s="15" t="s">
        <v>32</v>
      </c>
      <c r="C5" s="3">
        <v>43</v>
      </c>
      <c r="D5" s="4">
        <f t="shared" si="0"/>
        <v>860</v>
      </c>
      <c r="E5" s="3">
        <v>43</v>
      </c>
      <c r="F5" s="4">
        <f t="shared" si="1"/>
        <v>860</v>
      </c>
      <c r="G5" s="3">
        <v>43</v>
      </c>
      <c r="H5" s="4">
        <f t="shared" si="2"/>
        <v>860</v>
      </c>
      <c r="I5" s="3">
        <v>43</v>
      </c>
      <c r="J5" s="4">
        <f t="shared" si="3"/>
        <v>860</v>
      </c>
      <c r="K5" s="3">
        <v>43</v>
      </c>
      <c r="L5" s="4">
        <f t="shared" si="4"/>
        <v>860</v>
      </c>
      <c r="M5" s="3">
        <v>43</v>
      </c>
      <c r="N5" s="4">
        <f t="shared" si="5"/>
        <v>860</v>
      </c>
      <c r="O5" s="3">
        <v>43</v>
      </c>
      <c r="P5" s="4">
        <f t="shared" si="6"/>
        <v>860</v>
      </c>
    </row>
    <row r="6" spans="2:16">
      <c r="B6" s="16" t="s">
        <v>17</v>
      </c>
      <c r="C6" s="3">
        <v>100</v>
      </c>
      <c r="D6" s="4">
        <f t="shared" si="0"/>
        <v>2000</v>
      </c>
      <c r="E6" s="3">
        <v>100</v>
      </c>
      <c r="F6" s="4">
        <f t="shared" si="1"/>
        <v>2000</v>
      </c>
      <c r="G6" s="3">
        <v>100</v>
      </c>
      <c r="H6" s="4">
        <f t="shared" si="2"/>
        <v>2000</v>
      </c>
      <c r="I6" s="3">
        <v>100</v>
      </c>
      <c r="J6" s="4">
        <f t="shared" si="3"/>
        <v>2000</v>
      </c>
      <c r="K6" s="3">
        <v>100</v>
      </c>
      <c r="L6" s="4">
        <f t="shared" si="4"/>
        <v>2000</v>
      </c>
      <c r="M6" s="3">
        <v>100</v>
      </c>
      <c r="N6" s="4">
        <f t="shared" si="5"/>
        <v>2000</v>
      </c>
      <c r="O6" s="3">
        <v>100</v>
      </c>
      <c r="P6" s="4">
        <f t="shared" si="6"/>
        <v>2000</v>
      </c>
    </row>
    <row r="7" spans="2:16">
      <c r="B7" s="80" t="s">
        <v>49</v>
      </c>
      <c r="C7" s="3"/>
      <c r="D7" s="4">
        <f t="shared" si="0"/>
        <v>0</v>
      </c>
      <c r="E7" s="3"/>
      <c r="F7" s="4">
        <f t="shared" si="1"/>
        <v>0</v>
      </c>
      <c r="G7" s="3"/>
      <c r="H7" s="4">
        <f t="shared" si="2"/>
        <v>0</v>
      </c>
      <c r="I7" s="3">
        <v>0</v>
      </c>
      <c r="J7" s="4">
        <f t="shared" si="3"/>
        <v>0</v>
      </c>
      <c r="K7" s="3">
        <v>0</v>
      </c>
      <c r="L7" s="4">
        <f t="shared" si="4"/>
        <v>0</v>
      </c>
      <c r="M7" s="3">
        <v>0</v>
      </c>
      <c r="N7" s="4">
        <f t="shared" si="5"/>
        <v>0</v>
      </c>
      <c r="O7" s="3">
        <v>0</v>
      </c>
      <c r="P7" s="4">
        <f t="shared" si="6"/>
        <v>0</v>
      </c>
    </row>
    <row r="8" spans="2:16">
      <c r="B8" s="15" t="s">
        <v>50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>
      <c r="B9" s="15" t="s">
        <v>58</v>
      </c>
      <c r="C9" s="3">
        <v>0</v>
      </c>
      <c r="D9" s="4">
        <f t="shared" si="0"/>
        <v>0</v>
      </c>
      <c r="E9" s="3">
        <v>0</v>
      </c>
      <c r="F9" s="4">
        <f t="shared" si="0"/>
        <v>0</v>
      </c>
      <c r="G9" s="3">
        <v>0</v>
      </c>
      <c r="H9" s="4">
        <f t="shared" si="0"/>
        <v>0</v>
      </c>
      <c r="I9" s="3">
        <v>0</v>
      </c>
      <c r="J9" s="4">
        <f t="shared" si="0"/>
        <v>0</v>
      </c>
      <c r="K9" s="3">
        <v>0</v>
      </c>
      <c r="L9" s="4">
        <f t="shared" si="0"/>
        <v>0</v>
      </c>
      <c r="M9" s="3">
        <v>0</v>
      </c>
      <c r="N9" s="4">
        <f t="shared" si="0"/>
        <v>0</v>
      </c>
      <c r="O9" s="3">
        <v>0</v>
      </c>
      <c r="P9" s="4">
        <f t="shared" si="0"/>
        <v>0</v>
      </c>
    </row>
    <row r="10" spans="2:16" ht="16.2" thickBot="1">
      <c r="B10" s="59" t="s">
        <v>92</v>
      </c>
      <c r="C10" s="3">
        <v>0</v>
      </c>
      <c r="D10" s="4">
        <f>C10*积分规则1</f>
        <v>0</v>
      </c>
      <c r="E10" s="3">
        <v>0</v>
      </c>
      <c r="F10" s="4">
        <f>E10*积分规则1</f>
        <v>0</v>
      </c>
      <c r="G10" s="3">
        <v>0</v>
      </c>
      <c r="H10" s="4">
        <f>G10*积分规则1</f>
        <v>0</v>
      </c>
      <c r="I10" s="3">
        <v>0</v>
      </c>
      <c r="J10" s="4">
        <f>I10*积分规则1</f>
        <v>0</v>
      </c>
      <c r="K10" s="3">
        <v>0</v>
      </c>
      <c r="L10" s="4">
        <f>K10*积分规则1</f>
        <v>0</v>
      </c>
      <c r="M10" s="3">
        <v>0</v>
      </c>
      <c r="N10" s="4">
        <f>M10*积分规则1</f>
        <v>0</v>
      </c>
      <c r="O10" s="3">
        <v>0</v>
      </c>
      <c r="P10" s="4">
        <f>O10*积分规则1</f>
        <v>0</v>
      </c>
    </row>
    <row r="11" spans="2:16" ht="16.2" thickTop="1">
      <c r="B11" s="60" t="s">
        <v>51</v>
      </c>
      <c r="C11" s="3">
        <v>0</v>
      </c>
      <c r="D11" s="4">
        <f t="shared" si="0"/>
        <v>0</v>
      </c>
      <c r="E11" s="3">
        <v>0</v>
      </c>
      <c r="F11" s="4">
        <f t="shared" si="1"/>
        <v>0</v>
      </c>
      <c r="G11" s="3">
        <v>50</v>
      </c>
      <c r="H11" s="4">
        <f t="shared" si="2"/>
        <v>1000</v>
      </c>
      <c r="I11" s="3">
        <v>50</v>
      </c>
      <c r="J11" s="4">
        <f t="shared" si="3"/>
        <v>1000</v>
      </c>
      <c r="K11" s="3">
        <v>50</v>
      </c>
      <c r="L11" s="4">
        <f t="shared" si="4"/>
        <v>1000</v>
      </c>
      <c r="M11" s="3">
        <v>50</v>
      </c>
      <c r="N11" s="4">
        <f t="shared" si="5"/>
        <v>1000</v>
      </c>
      <c r="O11" s="3">
        <v>150</v>
      </c>
      <c r="P11" s="4">
        <f t="shared" si="6"/>
        <v>3000</v>
      </c>
    </row>
    <row r="12" spans="2:16" ht="16.2" thickBot="1">
      <c r="B12" s="61" t="s">
        <v>52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16" ht="16.2" thickTop="1">
      <c r="B13" s="69" t="str">
        <f>"使用"&amp;抽奖道具</f>
        <v>使用月兔券</v>
      </c>
      <c r="C13" s="3">
        <v>0</v>
      </c>
      <c r="D13" s="4">
        <f>C13*积分规则3</f>
        <v>0</v>
      </c>
      <c r="E13" s="3">
        <v>50</v>
      </c>
      <c r="F13" s="4">
        <f>E13*积分规则3</f>
        <v>40.5</v>
      </c>
      <c r="G13" s="3">
        <v>175</v>
      </c>
      <c r="H13" s="4">
        <f>G13*积分规则3</f>
        <v>141.75</v>
      </c>
      <c r="I13" s="3">
        <v>175</v>
      </c>
      <c r="J13" s="4">
        <f>I13*积分规则3</f>
        <v>141.75</v>
      </c>
      <c r="K13" s="3">
        <v>175</v>
      </c>
      <c r="L13" s="4">
        <f>K13*积分规则3</f>
        <v>141.75</v>
      </c>
      <c r="M13" s="3">
        <v>175</v>
      </c>
      <c r="N13" s="4">
        <f>M13*积分规则3</f>
        <v>141.75</v>
      </c>
      <c r="O13" s="3">
        <v>606</v>
      </c>
      <c r="P13" s="4">
        <f>O13*积分规则3</f>
        <v>490.86</v>
      </c>
    </row>
    <row r="14" spans="2:16" ht="16.2" thickBot="1">
      <c r="B14" s="62" t="str">
        <f>"剩余"&amp;抽奖道具</f>
        <v>剩余月兔券</v>
      </c>
      <c r="C14" s="3">
        <f>C22-C13</f>
        <v>148</v>
      </c>
      <c r="D14" s="4"/>
      <c r="E14" s="3">
        <f>C14+SUM(E4:E12)-E13</f>
        <v>241</v>
      </c>
      <c r="F14" s="4"/>
      <c r="G14" s="3">
        <f>E14+SUM(G4:G12)-G13</f>
        <v>259</v>
      </c>
      <c r="H14" s="4"/>
      <c r="I14" s="3">
        <f>G14+SUM(I4:I12)-I13</f>
        <v>277</v>
      </c>
      <c r="J14" s="4"/>
      <c r="K14" s="3">
        <f>I14+SUM(K4:K12)-K13</f>
        <v>295</v>
      </c>
      <c r="L14" s="4"/>
      <c r="M14" s="3">
        <f>K14+SUM(M4:M12)-M13</f>
        <v>313</v>
      </c>
      <c r="N14" s="4"/>
      <c r="O14" s="3">
        <f>M14+SUM(O4:O12)-O13</f>
        <v>0</v>
      </c>
      <c r="P14" s="4"/>
    </row>
    <row r="15" spans="2:16" ht="16.2" thickTop="1">
      <c r="B15" s="63" t="s">
        <v>33</v>
      </c>
      <c r="C15" s="3">
        <v>0</v>
      </c>
      <c r="D15" s="4">
        <f>C15*随机箱积分</f>
        <v>0</v>
      </c>
      <c r="E15" s="3">
        <v>0</v>
      </c>
      <c r="F15" s="4">
        <f>E15*随机箱积分</f>
        <v>0</v>
      </c>
      <c r="G15" s="3">
        <v>0</v>
      </c>
      <c r="H15" s="4">
        <f>G15*随机箱积分</f>
        <v>0</v>
      </c>
      <c r="I15" s="3">
        <v>0</v>
      </c>
      <c r="J15" s="4">
        <f>I15*随机箱积分</f>
        <v>0</v>
      </c>
      <c r="K15" s="3">
        <v>0</v>
      </c>
      <c r="L15" s="4">
        <f>K15*随机箱积分</f>
        <v>0</v>
      </c>
      <c r="M15" s="3">
        <v>0</v>
      </c>
      <c r="N15" s="4">
        <f>M15*随机箱积分</f>
        <v>0</v>
      </c>
      <c r="O15" s="3">
        <v>162</v>
      </c>
      <c r="P15" s="68">
        <f>O15*随机箱积分</f>
        <v>1661.31</v>
      </c>
    </row>
    <row r="16" spans="2:16" ht="16.2" thickBot="1">
      <c r="B16" s="62" t="s">
        <v>34</v>
      </c>
      <c r="C16" s="3">
        <f>C24-SUM(C15)</f>
        <v>6</v>
      </c>
      <c r="D16" s="4"/>
      <c r="E16" s="3">
        <f>E24-SUM(C15,E15)</f>
        <v>12</v>
      </c>
      <c r="F16" s="4"/>
      <c r="G16" s="3">
        <f>G24-SUM(C15,E15,G15)</f>
        <v>30</v>
      </c>
      <c r="H16" s="4"/>
      <c r="I16" s="3">
        <f>I24-SUM(C15,E15,G15,I15)</f>
        <v>48</v>
      </c>
      <c r="J16" s="4"/>
      <c r="K16" s="3">
        <f>K24-SUM(C15,E15,G15,I15,K15)</f>
        <v>66</v>
      </c>
      <c r="L16" s="4"/>
      <c r="M16" s="3">
        <f>M24-SUM(C15,E15,G15,I15,K15,M15)</f>
        <v>84</v>
      </c>
      <c r="N16" s="4"/>
      <c r="O16" s="3">
        <f>O24-SUM(C15,E15,G15,I15,K15,M15,O15)</f>
        <v>0</v>
      </c>
      <c r="P16" s="4"/>
    </row>
    <row r="17" spans="2:16" ht="16.2" thickTop="1">
      <c r="B17" s="64" t="s">
        <v>152</v>
      </c>
      <c r="C17" s="3">
        <v>0</v>
      </c>
      <c r="D17" s="4">
        <f>C17*1</f>
        <v>0</v>
      </c>
      <c r="E17" s="3"/>
      <c r="F17" s="4">
        <f>E17*1</f>
        <v>0</v>
      </c>
      <c r="G17" s="3"/>
      <c r="H17" s="4">
        <f>G17*1</f>
        <v>0</v>
      </c>
      <c r="I17" s="3"/>
      <c r="J17" s="4">
        <f>I17*1</f>
        <v>0</v>
      </c>
      <c r="K17" s="3"/>
      <c r="L17" s="4">
        <f>K17*1</f>
        <v>0</v>
      </c>
      <c r="M17" s="3"/>
      <c r="N17" s="4">
        <f>M17*1</f>
        <v>0</v>
      </c>
      <c r="O17" s="3">
        <v>100</v>
      </c>
      <c r="P17" s="4">
        <f>O17*1</f>
        <v>100</v>
      </c>
    </row>
    <row r="18" spans="2:16">
      <c r="B18" s="15" t="s">
        <v>173</v>
      </c>
      <c r="C18" s="3">
        <v>0</v>
      </c>
      <c r="D18" s="4">
        <f>C18*1</f>
        <v>0</v>
      </c>
      <c r="E18" s="3"/>
      <c r="F18" s="4"/>
      <c r="G18" s="3"/>
      <c r="H18" s="4"/>
      <c r="I18" s="3"/>
      <c r="J18" s="4"/>
      <c r="K18" s="3"/>
      <c r="L18" s="4"/>
      <c r="M18" s="3"/>
      <c r="N18" s="4"/>
      <c r="O18" s="3">
        <v>75</v>
      </c>
      <c r="P18" s="4">
        <f>O18*1</f>
        <v>75</v>
      </c>
    </row>
    <row r="19" spans="2:16" ht="16.2" thickBot="1">
      <c r="B19" s="15" t="s">
        <v>54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71" t="s">
        <v>56</v>
      </c>
      <c r="C20" s="72" t="str">
        <f>IFERROR(LOOKUP(D20,档位积分1:档位积分5,第1档:第5档),"无奖励")</f>
        <v>第2档</v>
      </c>
      <c r="D20" s="73">
        <f>SUM(D4:D13)+D15+SUM(D17:D19)</f>
        <v>2960</v>
      </c>
      <c r="E20" s="74" t="str">
        <f>IFERROR(LOOKUP(F20,档位积分1:档位积分5,第1档:第5档),"无奖励")</f>
        <v>第2档</v>
      </c>
      <c r="F20" s="73">
        <f>SUM(F4:F13)+F15+SUM(F17:F19)</f>
        <v>2900.5</v>
      </c>
      <c r="G20" s="74" t="str">
        <f>IFERROR(LOOKUP(H20,档位积分1:档位积分5,第1档:第5档),"无奖励")</f>
        <v>第3档</v>
      </c>
      <c r="H20" s="73">
        <f>SUM(H4:H13)+H15+SUM(H17:H19)</f>
        <v>4001.75</v>
      </c>
      <c r="I20" s="74" t="str">
        <f>IFERROR(LOOKUP(J20,档位积分1:档位积分5,第1档:第5档),"无奖励")</f>
        <v>第3档</v>
      </c>
      <c r="J20" s="73">
        <f>SUM(J4:J13)+J15+SUM(J17:J19)</f>
        <v>4001.75</v>
      </c>
      <c r="K20" s="74" t="str">
        <f>IFERROR(LOOKUP(L20,档位积分1:档位积分5,第1档:第5档),"无奖励")</f>
        <v>第3档</v>
      </c>
      <c r="L20" s="73">
        <f>SUM(L4:L13)+L15+SUM(L17:L19)</f>
        <v>4001.75</v>
      </c>
      <c r="M20" s="74" t="str">
        <f>IFERROR(LOOKUP(N20,档位积分1:档位积分5,第1档:第5档),"无奖励")</f>
        <v>第3档</v>
      </c>
      <c r="N20" s="73">
        <f>SUM(N4:N13)+N15+SUM(N17:N19)</f>
        <v>4001.75</v>
      </c>
      <c r="O20" s="74" t="str">
        <f>IFERROR(LOOKUP(P20,档位积分1:档位积分5,第1档:第5档),"无奖励")</f>
        <v>第4档</v>
      </c>
      <c r="P20" s="73">
        <f>SUM(P4:P13)+P15+SUM(P17:P19)</f>
        <v>8187.17</v>
      </c>
    </row>
    <row r="21" spans="2:16" ht="16.8" thickTop="1" thickBot="1">
      <c r="B21" s="58" t="s">
        <v>57</v>
      </c>
      <c r="C21" s="56" t="str">
        <f>IF(D20&gt;=MAX(档位积分1:档位积分5), "已是最高档",
   IF(D20&lt;MIN(档位积分1:档位积分5), INDEX(第1档:第5档, 1),
      INDEX(第1档:第5档, MATCH(D20, 档位积分1:档位积分5, 1)+1)))</f>
        <v>第3档</v>
      </c>
      <c r="D21" s="79">
        <f>IF(D20&gt;=MAX(档位积分1:档位积分5), "",
   IF(D20&lt;MIN(档位积分1:档位积分5), MIN(档位积分1:档位积分5),
      INDEX(档位积分1:档位积分5, MATCH(D20, 档位积分1:档位积分5, 1)+1)))</f>
        <v>4000</v>
      </c>
      <c r="E21" s="56" t="str">
        <f>IF(F20&gt;=MAX(档位积分1:档位积分5), "已是最高档",
   IF(F20&lt;MIN(档位积分1:档位积分5), INDEX(第1档:第5档, 1),
      INDEX(第1档:第5档, MATCH(F20, 档位积分1:档位积分5, 1)+1)))</f>
        <v>第3档</v>
      </c>
      <c r="F21" s="79">
        <f>IF(F20&gt;=MAX(档位积分1:档位积分5), "",
   IF(F20&lt;MIN(档位积分1:档位积分5), MIN(档位积分1:档位积分5),
      INDEX(档位积分1:档位积分5, MATCH(F20, 档位积分1:档位积分5, 1)+1)))</f>
        <v>4000</v>
      </c>
      <c r="G21" s="56" t="str">
        <f>IF(H20&gt;=MAX(档位积分1:档位积分5), "已是最高档",
   IF(H20&lt;MIN(档位积分1:档位积分5), INDEX(第1档:第5档, 1),
      INDEX(第1档:第5档, MATCH(H20, 档位积分1:档位积分5, 1)+1)))</f>
        <v>第4档</v>
      </c>
      <c r="H21" s="79">
        <f>IF(H20&gt;=MAX(档位积分1:档位积分5), "",
   IF(H20&lt;MIN(档位积分1:档位积分5), MIN(档位积分1:档位积分5),
      INDEX(档位积分1:档位积分5, MATCH(H20, 档位积分1:档位积分5, 1)+1)))</f>
        <v>7500</v>
      </c>
      <c r="I21" s="56" t="str">
        <f>IF(J20&gt;=MAX(档位积分1:档位积分5), "已是最高档",
   IF(J20&lt;MIN(档位积分1:档位积分5), INDEX(第1档:第5档, 1),
      INDEX(第1档:第5档, MATCH(J20, 档位积分1:档位积分5, 1)+1)))</f>
        <v>第4档</v>
      </c>
      <c r="J21" s="79">
        <f>IF(J20&gt;=MAX(档位积分1:档位积分5), "",
   IF(J20&lt;MIN(档位积分1:档位积分5), MIN(档位积分1:档位积分5),
      INDEX(档位积分1:档位积分5, MATCH(J20, 档位积分1:档位积分5, 1)+1)))</f>
        <v>7500</v>
      </c>
      <c r="K21" s="56" t="str">
        <f>IF(L20&gt;=MAX(档位积分1:档位积分5), "已是最高档",
   IF(L20&lt;MIN(档位积分1:档位积分5), INDEX(第1档:第5档, 1),
      INDEX(第1档:第5档, MATCH(L20, 档位积分1:档位积分5, 1)+1)))</f>
        <v>第4档</v>
      </c>
      <c r="L21" s="79">
        <f>IF(L20&gt;=MAX(档位积分1:档位积分5), "",
   IF(L20&lt;MIN(档位积分1:档位积分5), MIN(档位积分1:档位积分5),
      INDEX(档位积分1:档位积分5, MATCH(L20, 档位积分1:档位积分5, 1)+1)))</f>
        <v>7500</v>
      </c>
      <c r="M21" s="56" t="str">
        <f>IF(N20&gt;=MAX(档位积分1:档位积分5), "已是最高档",
   IF(N20&lt;MIN(档位积分1:档位积分5), INDEX(第1档:第5档, 1),
      INDEX(第1档:第5档, MATCH(N20, 档位积分1:档位积分5, 1)+1)))</f>
        <v>第4档</v>
      </c>
      <c r="N21" s="79">
        <f>IF(N20&gt;=MAX(档位积分1:档位积分5), "",
   IF(N20&lt;MIN(档位积分1:档位积分5), MIN(档位积分1:档位积分5),
      INDEX(档位积分1:档位积分5, MATCH(N20, 档位积分1:档位积分5, 1)+1)))</f>
        <v>7500</v>
      </c>
      <c r="O21" s="56" t="str">
        <f>IF(P20&gt;=MAX(档位积分1:档位积分5), "已是最高档",
   IF(P20&lt;MIN(档位积分1:档位积分5), INDEX(第1档:第5档, 1),
      INDEX(第1档:第5档, MATCH(P20, 档位积分1:档位积分5, 1)+1)))</f>
        <v>第5档</v>
      </c>
      <c r="P21" s="79">
        <f>IF(P20&gt;=MAX(档位积分1:档位积分5), "",
   IF(P20&lt;MIN(档位积分1:档位积分5), MIN(档位积分1:档位积分5),
      INDEX(档位积分1:档位积分5, MATCH(P20, 档位积分1:档位积分5, 1)+1)))</f>
        <v>12200</v>
      </c>
    </row>
    <row r="22" spans="2:16" ht="16.2" thickTop="1">
      <c r="B22" s="70" t="str">
        <f>"总"&amp;抽奖道具</f>
        <v>总月兔券</v>
      </c>
      <c r="C22" s="56">
        <f>SUM(C4:C12)</f>
        <v>148</v>
      </c>
      <c r="D22" s="57">
        <f>C22*积分规则3</f>
        <v>119.88000000000001</v>
      </c>
      <c r="E22" s="56">
        <f>C22+SUM(E4:E12)</f>
        <v>291</v>
      </c>
      <c r="F22" s="57">
        <v>0</v>
      </c>
      <c r="G22" s="56">
        <f>E22+SUM(G4:G12)</f>
        <v>484</v>
      </c>
      <c r="H22" s="57">
        <v>0</v>
      </c>
      <c r="I22" s="56">
        <f>G22+SUM(I4:I12)</f>
        <v>677</v>
      </c>
      <c r="J22" s="57">
        <v>0</v>
      </c>
      <c r="K22" s="56">
        <f>I22+SUM(K4:K12)</f>
        <v>870</v>
      </c>
      <c r="L22" s="57">
        <v>0</v>
      </c>
      <c r="M22" s="56">
        <f>K22+SUM(M4:M12)</f>
        <v>1063</v>
      </c>
      <c r="N22" s="57">
        <v>0</v>
      </c>
      <c r="O22" s="56">
        <f>M22+SUM(O4:O12)</f>
        <v>1356</v>
      </c>
      <c r="P22" s="57">
        <v>0</v>
      </c>
    </row>
    <row r="23" spans="2:16">
      <c r="B23" s="92" t="s">
        <v>93</v>
      </c>
      <c r="C23" s="3">
        <f>C13</f>
        <v>0</v>
      </c>
      <c r="D23" s="4"/>
      <c r="E23" s="3">
        <f>C23+E13</f>
        <v>50</v>
      </c>
      <c r="F23" s="4"/>
      <c r="G23" s="3">
        <f>G13+E23</f>
        <v>225</v>
      </c>
      <c r="H23" s="4"/>
      <c r="I23" s="3">
        <f>I13+G23</f>
        <v>400</v>
      </c>
      <c r="J23" s="4"/>
      <c r="K23" s="3">
        <f>K13+I23</f>
        <v>575</v>
      </c>
      <c r="L23" s="4"/>
      <c r="M23" s="3">
        <f>M13+K23</f>
        <v>750</v>
      </c>
      <c r="N23" s="4"/>
      <c r="O23" s="3">
        <f>O13+M23</f>
        <v>1356</v>
      </c>
      <c r="P23" s="4"/>
    </row>
    <row r="24" spans="2:16" ht="16.2" thickBot="1">
      <c r="B24" s="55" t="s">
        <v>55</v>
      </c>
      <c r="C24" s="5">
        <f>IFERROR(LOOKUP(D20,档位积分1:档位积分5,档位奖励1:档位奖励5),0)</f>
        <v>6</v>
      </c>
      <c r="D24" s="13">
        <f>C24*随机箱积分</f>
        <v>61.529999999999994</v>
      </c>
      <c r="E24" s="5">
        <f>IFERROR(LOOKUP(F20,档位积分1:档位积分5,档位奖励1:档位奖励5),0)+C24</f>
        <v>12</v>
      </c>
      <c r="F24" s="13">
        <f>E24*随机箱积分</f>
        <v>123.05999999999999</v>
      </c>
      <c r="G24" s="5">
        <f>IFERROR(LOOKUP(H20,档位积分1:档位积分5,档位奖励1:档位奖励5),0)+E24</f>
        <v>30</v>
      </c>
      <c r="H24" s="13">
        <f>G24*随机箱积分</f>
        <v>307.64999999999998</v>
      </c>
      <c r="I24" s="5">
        <f>IFERROR(LOOKUP(J20,档位积分1:档位积分5,档位奖励1:档位奖励5),0)+G24</f>
        <v>48</v>
      </c>
      <c r="J24" s="13">
        <f>I24*随机箱积分</f>
        <v>492.23999999999995</v>
      </c>
      <c r="K24" s="5">
        <f>IFERROR(LOOKUP(L20,档位积分1:档位积分5,档位奖励1:档位奖励5),0)+I24</f>
        <v>66</v>
      </c>
      <c r="L24" s="13">
        <f>K24*随机箱积分</f>
        <v>676.82999999999993</v>
      </c>
      <c r="M24" s="5">
        <f>IFERROR(LOOKUP(N20,档位积分1:档位积分5,档位奖励1:档位奖励5),0)+K24</f>
        <v>84</v>
      </c>
      <c r="N24" s="13">
        <f>M24*随机箱积分</f>
        <v>861.42</v>
      </c>
      <c r="O24" s="5">
        <f>IFERROR(LOOKUP(P20,档位积分1:档位积分5,档位奖励1:档位奖励5),0)+M24</f>
        <v>162</v>
      </c>
      <c r="P24" s="13">
        <f>O24*随机箱积分</f>
        <v>1661.31</v>
      </c>
    </row>
    <row r="25" spans="2:16" ht="16.2" thickTop="1">
      <c r="B25" s="58" t="str">
        <f>普通兑换道具</f>
        <v>桃花兔灯</v>
      </c>
      <c r="C25" s="75">
        <f>C13*普通兑换道具抽奖期望</f>
        <v>0</v>
      </c>
      <c r="D25" s="57"/>
      <c r="E25" s="75">
        <f>E13*普通兑换道具抽奖期望+C25</f>
        <v>2750</v>
      </c>
      <c r="F25" s="76"/>
      <c r="G25" s="75">
        <f>G13*普通兑换道具抽奖期望+E25</f>
        <v>12375</v>
      </c>
      <c r="H25" s="76"/>
      <c r="I25" s="75">
        <f>I13*普通兑换道具抽奖期望+G25</f>
        <v>22000</v>
      </c>
      <c r="J25" s="76"/>
      <c r="K25" s="75">
        <f>K13*普通兑换道具抽奖期望+I25</f>
        <v>31625</v>
      </c>
      <c r="L25" s="76"/>
      <c r="M25" s="75">
        <f>M13*普通兑换道具抽奖期望+K25</f>
        <v>41250</v>
      </c>
      <c r="N25" s="76"/>
      <c r="O25" s="75">
        <f>O13*普通兑换道具抽奖期望+M25-2900</f>
        <v>71680</v>
      </c>
      <c r="P25" s="57"/>
    </row>
    <row r="26" spans="2:16" ht="16.2" thickBot="1">
      <c r="B26" s="59" t="str">
        <f>高级兑换道具</f>
        <v>华彩兔灯</v>
      </c>
      <c r="C26" s="77">
        <f>C13*高级兑换道具抽奖期望+C15*随机箱高级道具期望+C17</f>
        <v>0</v>
      </c>
      <c r="D26" s="13"/>
      <c r="E26" s="77">
        <f>E13*高级兑换道具抽奖期望+E15*随机箱高级道具期望+C26+E17</f>
        <v>40.5</v>
      </c>
      <c r="F26" s="78"/>
      <c r="G26" s="77">
        <f>G13*高级兑换道具抽奖期望+G15*随机箱高级道具期望+E26+G17</f>
        <v>182.25</v>
      </c>
      <c r="H26" s="78"/>
      <c r="I26" s="77">
        <f>I13*高级兑换道具抽奖期望+I15*随机箱高级道具期望+G26+I17</f>
        <v>324</v>
      </c>
      <c r="J26" s="78"/>
      <c r="K26" s="77">
        <f>K13*高级兑换道具抽奖期望+K15*随机箱高级道具期望+I26+K17</f>
        <v>465.75</v>
      </c>
      <c r="L26" s="78"/>
      <c r="M26" s="77">
        <f>M13*高级兑换道具抽奖期望+M15*随机箱高级道具期望+K26+M17</f>
        <v>607.5</v>
      </c>
      <c r="N26" s="78"/>
      <c r="O26" s="77">
        <f>O13*高级兑换道具抽奖期望+O15*随机箱高级道具期望+M26+O17+O18</f>
        <v>2934.67</v>
      </c>
      <c r="P26" s="13"/>
    </row>
    <row r="27" spans="2:16" ht="16.2" thickTop="1">
      <c r="B27" s="142" t="s">
        <v>47</v>
      </c>
      <c r="C27" s="20">
        <v>0</v>
      </c>
      <c r="D27" s="21">
        <v>0</v>
      </c>
      <c r="E27" s="20">
        <v>0</v>
      </c>
      <c r="F27" s="21">
        <v>0</v>
      </c>
      <c r="G27" s="20">
        <v>30</v>
      </c>
      <c r="H27" s="21">
        <v>68</v>
      </c>
      <c r="I27" s="20">
        <v>30</v>
      </c>
      <c r="J27" s="21">
        <v>68</v>
      </c>
      <c r="K27" s="20">
        <v>30</v>
      </c>
      <c r="L27" s="21">
        <v>68</v>
      </c>
      <c r="M27" s="20">
        <v>30</v>
      </c>
      <c r="N27" s="21">
        <v>68</v>
      </c>
      <c r="O27" s="20">
        <v>30</v>
      </c>
      <c r="P27" s="21">
        <v>68</v>
      </c>
    </row>
    <row r="28" spans="2:16">
      <c r="B28" s="215"/>
      <c r="C28" s="65">
        <v>0</v>
      </c>
      <c r="D28" s="26">
        <v>0</v>
      </c>
      <c r="E28" s="65">
        <v>0</v>
      </c>
      <c r="F28" s="26">
        <v>0</v>
      </c>
      <c r="G28" s="65">
        <v>0</v>
      </c>
      <c r="H28" s="26">
        <v>0</v>
      </c>
      <c r="I28" s="65">
        <v>0</v>
      </c>
      <c r="J28" s="26">
        <v>0</v>
      </c>
      <c r="K28" s="65">
        <v>0</v>
      </c>
      <c r="L28" s="26">
        <v>0</v>
      </c>
      <c r="M28" s="65">
        <v>0</v>
      </c>
      <c r="N28" s="26">
        <v>0</v>
      </c>
      <c r="O28" s="65">
        <v>68</v>
      </c>
      <c r="P28" s="26">
        <v>328</v>
      </c>
    </row>
    <row r="29" spans="2:16" ht="16.2" thickBot="1">
      <c r="B29" s="143"/>
      <c r="C29" s="66"/>
      <c r="D29" s="67"/>
      <c r="E29" s="66"/>
      <c r="F29" s="67"/>
      <c r="G29" s="66"/>
      <c r="H29" s="67"/>
      <c r="I29" s="66"/>
      <c r="J29" s="67"/>
      <c r="K29" s="66"/>
      <c r="L29" s="67"/>
      <c r="M29" s="66"/>
      <c r="N29" s="67"/>
      <c r="O29" s="66"/>
      <c r="P29" s="67"/>
    </row>
    <row r="30" spans="2:16" ht="16.2" thickTop="1">
      <c r="B30" s="215" t="s">
        <v>48</v>
      </c>
      <c r="C30" s="20">
        <f>IFERROR(LOOKUP(C27,价格6:价格648,翡翠100:翡翠10000),0)</f>
        <v>0</v>
      </c>
      <c r="D30" s="21">
        <f>IFERROR(LOOKUP(D27,价格6:价格648,翡翠100:翡翠10000),0)</f>
        <v>0</v>
      </c>
      <c r="E30" s="20">
        <f>IFERROR(LOOKUP(E27,价格6:价格648,翡翠100:翡翠10000),0)</f>
        <v>0</v>
      </c>
      <c r="F30" s="21">
        <f>IFERROR(LOOKUP(F27,价格6:价格648,翡翠100:翡翠10000),0)</f>
        <v>0</v>
      </c>
      <c r="G30" s="20">
        <f>IFERROR(LOOKUP(G27,价格6:价格648,翡翠100:翡翠10000),0)</f>
        <v>500</v>
      </c>
      <c r="H30" s="21">
        <f>IFERROR(LOOKUP(H27,价格6:价格648,翡翠100:翡翠10000),0)</f>
        <v>1000</v>
      </c>
      <c r="I30" s="20">
        <f>IFERROR(LOOKUP(I27,价格6:价格648,翡翠100:翡翠10000),0)</f>
        <v>500</v>
      </c>
      <c r="J30" s="21">
        <f>IFERROR(LOOKUP(J27,价格6:价格648,翡翠100:翡翠10000),0)</f>
        <v>1000</v>
      </c>
      <c r="K30" s="20">
        <f>IFERROR(LOOKUP(K27,价格6:价格648,翡翠100:翡翠10000),0)</f>
        <v>500</v>
      </c>
      <c r="L30" s="21">
        <f>IFERROR(LOOKUP(L27,价格6:价格648,翡翠100:翡翠10000),0)</f>
        <v>1000</v>
      </c>
      <c r="M30" s="20">
        <f>IFERROR(LOOKUP(M27,价格6:价格648,翡翠100:翡翠10000),0)</f>
        <v>500</v>
      </c>
      <c r="N30" s="21">
        <f>IFERROR(LOOKUP(N27,价格6:价格648,翡翠100:翡翠10000),0)</f>
        <v>1000</v>
      </c>
      <c r="O30" s="20">
        <f>IFERROR(LOOKUP(O27,价格6:价格648,翡翠100:翡翠10000),0)</f>
        <v>500</v>
      </c>
      <c r="P30" s="21">
        <f>IFERROR(LOOKUP(P27,价格6:价格648,翡翠100:翡翠10000),0)</f>
        <v>1000</v>
      </c>
    </row>
    <row r="31" spans="2:16">
      <c r="B31" s="215"/>
      <c r="C31" s="65">
        <f>IFERROR(LOOKUP(C28,价格6:价格648,翡翠100:翡翠10000),0)</f>
        <v>0</v>
      </c>
      <c r="D31" s="26">
        <f>IFERROR(LOOKUP(D28,价格6:价格648,翡翠100:翡翠10000),0)</f>
        <v>0</v>
      </c>
      <c r="E31" s="65">
        <f>IFERROR(LOOKUP(E28,价格6:价格648,翡翠100:翡翠10000),0)</f>
        <v>0</v>
      </c>
      <c r="F31" s="26">
        <f>IFERROR(LOOKUP(F28,价格6:价格648,翡翠100:翡翠10000),0)</f>
        <v>0</v>
      </c>
      <c r="G31" s="65">
        <f>IFERROR(LOOKUP(G28,价格6:价格648,翡翠100:翡翠10000),0)</f>
        <v>0</v>
      </c>
      <c r="H31" s="26">
        <f>IFERROR(LOOKUP(H28,价格6:价格648,翡翠100:翡翠10000),0)</f>
        <v>0</v>
      </c>
      <c r="I31" s="65">
        <f>IFERROR(LOOKUP(I28,价格6:价格648,翡翠100:翡翠10000),0)</f>
        <v>0</v>
      </c>
      <c r="J31" s="26">
        <f>IFERROR(LOOKUP(J28,价格6:价格648,翡翠100:翡翠10000),0)</f>
        <v>0</v>
      </c>
      <c r="K31" s="65">
        <f>IFERROR(LOOKUP(K28,价格6:价格648,翡翠100:翡翠10000),0)</f>
        <v>0</v>
      </c>
      <c r="L31" s="26">
        <f>IFERROR(LOOKUP(L28,价格6:价格648,翡翠100:翡翠10000),0)</f>
        <v>0</v>
      </c>
      <c r="M31" s="65">
        <f>IFERROR(LOOKUP(M28,价格6:价格648,翡翠100:翡翠10000),0)</f>
        <v>0</v>
      </c>
      <c r="N31" s="26">
        <f>IFERROR(LOOKUP(N28,价格6:价格648,翡翠100:翡翠10000),0)</f>
        <v>0</v>
      </c>
      <c r="O31" s="65">
        <f>IFERROR(LOOKUP(O28,价格6:价格648,翡翠100:翡翠10000),0)</f>
        <v>1000</v>
      </c>
      <c r="P31" s="26">
        <f>IFERROR(LOOKUP(P28,价格6:价格648,翡翠100:翡翠10000),0)</f>
        <v>5000</v>
      </c>
    </row>
    <row r="32" spans="2:16" ht="16.2" thickBot="1">
      <c r="B32" s="143"/>
      <c r="C32" s="66"/>
      <c r="D32" s="67"/>
      <c r="E32" s="66"/>
      <c r="F32" s="67"/>
      <c r="G32" s="66"/>
      <c r="H32" s="67"/>
      <c r="I32" s="66"/>
      <c r="J32" s="67"/>
      <c r="K32" s="66"/>
      <c r="L32" s="67"/>
      <c r="M32" s="66"/>
      <c r="N32" s="67"/>
      <c r="O32" s="66"/>
      <c r="P32" s="67"/>
    </row>
    <row r="33" spans="2:19" ht="24.6" customHeight="1" thickTop="1">
      <c r="B33" s="215" t="s">
        <v>46</v>
      </c>
      <c r="C33" s="216">
        <f>SUM(C6,E6,G6,I6,K6,M6,O6)*钻石购买</f>
        <v>105000</v>
      </c>
      <c r="D33" s="217"/>
      <c r="E33" s="217"/>
      <c r="F33" s="217"/>
      <c r="G33" s="217"/>
      <c r="H33" s="217"/>
      <c r="I33" s="218" t="str">
        <f>SUM(C27:P29) &amp;"元"</f>
        <v>886元</v>
      </c>
      <c r="J33" s="218"/>
      <c r="K33" s="218"/>
      <c r="L33" s="218"/>
      <c r="M33" s="219" t="str">
        <f>SUM(C30:P32) &amp; "翡翠"</f>
        <v>13500翡翠</v>
      </c>
      <c r="N33" s="219"/>
      <c r="O33" s="219"/>
      <c r="P33" s="220"/>
    </row>
    <row r="34" spans="2:19" ht="22.8" thickBot="1">
      <c r="B34" s="143"/>
      <c r="C34" s="221" t="str">
        <f>"最终收益："&amp;ROUNDDOWN(O26,0)&amp;B26&amp;"+"&amp;ROUNDDOWN(O25,0)&amp;B25</f>
        <v>最终收益：2934华彩兔灯+71680桃花兔灯</v>
      </c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3"/>
    </row>
    <row r="35" spans="2:19" ht="16.2" thickTop="1"/>
    <row r="39" spans="2:19" ht="38.4" customHeight="1"/>
    <row r="40" spans="2:19" ht="17.7" customHeight="1">
      <c r="B40" s="27"/>
      <c r="C40" s="27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6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2:19" ht="17.7" customHeight="1">
      <c r="B42" s="27"/>
      <c r="C42" s="49"/>
      <c r="D42" s="50"/>
      <c r="E42" s="50"/>
      <c r="F42" s="50"/>
      <c r="G42" s="50"/>
      <c r="H42" s="50"/>
      <c r="I42" s="50"/>
      <c r="J42" s="50"/>
      <c r="K42" s="10"/>
      <c r="L42" s="10"/>
      <c r="M42" s="10"/>
      <c r="N42" s="10"/>
      <c r="O42" s="10"/>
      <c r="P42" s="10"/>
    </row>
    <row r="43" spans="2:19" ht="17.7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2:19">
      <c r="F44" s="141"/>
      <c r="G44" s="141"/>
      <c r="H44" s="141"/>
      <c r="I44" s="141"/>
      <c r="K44" s="135"/>
      <c r="L44" s="135"/>
      <c r="M44" s="135"/>
      <c r="N44" s="135"/>
      <c r="P44" s="135"/>
      <c r="Q44" s="135"/>
      <c r="R44" s="135"/>
      <c r="S44" s="135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6"/>
      <c r="R47" s="6"/>
      <c r="S47" s="6"/>
    </row>
    <row r="48" spans="2:19">
      <c r="K48" s="6"/>
      <c r="L48" s="6"/>
      <c r="M48" s="6"/>
      <c r="N48" s="6"/>
      <c r="P48" s="25"/>
      <c r="R48" s="25"/>
      <c r="S48" s="6"/>
    </row>
    <row r="49" spans="2:16">
      <c r="G49" s="28"/>
      <c r="H49" s="28"/>
      <c r="I49" s="28"/>
      <c r="K49" s="6"/>
      <c r="M49" s="6"/>
      <c r="N49" s="6"/>
      <c r="O49" s="6"/>
      <c r="P49" s="6"/>
    </row>
    <row r="50" spans="2:16">
      <c r="F50" s="6"/>
      <c r="G50" s="6"/>
      <c r="H50" s="6"/>
      <c r="K50" s="6"/>
      <c r="M50" s="6"/>
      <c r="N50" s="6"/>
      <c r="O50" s="6"/>
      <c r="P50" s="6"/>
    </row>
    <row r="51" spans="2:16">
      <c r="B51" s="136"/>
      <c r="C51" s="136"/>
      <c r="D51" s="136"/>
      <c r="K51" s="135"/>
      <c r="L51" s="135"/>
      <c r="M51" s="135"/>
      <c r="N51" s="135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K54" s="6"/>
      <c r="M54" s="6"/>
      <c r="N54" s="6"/>
      <c r="P54" s="25"/>
    </row>
    <row r="55" spans="2:16">
      <c r="B55" s="136"/>
      <c r="C55" s="136"/>
      <c r="D55" s="136"/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K59" s="6"/>
      <c r="M59" s="6"/>
      <c r="N59" s="6"/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  <row r="75" spans="16:16">
      <c r="P75" s="25"/>
    </row>
  </sheetData>
  <mergeCells count="20">
    <mergeCell ref="O2:P2"/>
    <mergeCell ref="B27:B29"/>
    <mergeCell ref="B30:B32"/>
    <mergeCell ref="B33:B34"/>
    <mergeCell ref="C33:H33"/>
    <mergeCell ref="I33:L33"/>
    <mergeCell ref="M33:P33"/>
    <mergeCell ref="C34:P34"/>
    <mergeCell ref="C2:D2"/>
    <mergeCell ref="E2:F2"/>
    <mergeCell ref="G2:H2"/>
    <mergeCell ref="I2:J2"/>
    <mergeCell ref="K2:L2"/>
    <mergeCell ref="M2:N2"/>
    <mergeCell ref="K44:N44"/>
    <mergeCell ref="P44:S44"/>
    <mergeCell ref="B51:D51"/>
    <mergeCell ref="K51:N51"/>
    <mergeCell ref="B55:D55"/>
    <mergeCell ref="F44:I44"/>
  </mergeCells>
  <phoneticPr fontId="20" type="noConversion"/>
  <conditionalFormatting sqref="B6:P6">
    <cfRule type="cellIs" dxfId="8" priority="6" operator="greaterThan">
      <formula>0</formula>
    </cfRule>
  </conditionalFormatting>
  <conditionalFormatting sqref="B10:P10">
    <cfRule type="cellIs" dxfId="7" priority="3" operator="greaterThan">
      <formula>0</formula>
    </cfRule>
  </conditionalFormatting>
  <conditionalFormatting sqref="B11:P12">
    <cfRule type="cellIs" dxfId="6" priority="5" operator="greaterThan">
      <formula>0</formula>
    </cfRule>
  </conditionalFormatting>
  <conditionalFormatting sqref="C7:P7">
    <cfRule type="cellIs" dxfId="5" priority="4" operator="greaterThan">
      <formula>0</formula>
    </cfRule>
  </conditionalFormatting>
  <conditionalFormatting sqref="C13:P13">
    <cfRule type="cellIs" dxfId="4" priority="9" operator="greaterThan">
      <formula>0</formula>
    </cfRule>
  </conditionalFormatting>
  <conditionalFormatting sqref="C15:P15">
    <cfRule type="cellIs" dxfId="3" priority="7" operator="greaterThan">
      <formula>0</formula>
    </cfRule>
  </conditionalFormatting>
  <conditionalFormatting sqref="C17:P17">
    <cfRule type="cellIs" dxfId="2" priority="8" operator="greaterThan">
      <formula>0</formula>
    </cfRule>
  </conditionalFormatting>
  <conditionalFormatting sqref="C27:P29">
    <cfRule type="cellIs" dxfId="1" priority="2" operator="greaterThan">
      <formula>0</formula>
    </cfRule>
  </conditionalFormatting>
  <conditionalFormatting sqref="C30:P32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D5C1-CE51-4C9B-90F5-5F660F8FF6FE}">
  <dimension ref="A1:U30"/>
  <sheetViews>
    <sheetView topLeftCell="A7" workbookViewId="0">
      <selection activeCell="K7" sqref="K7"/>
    </sheetView>
  </sheetViews>
  <sheetFormatPr defaultRowHeight="15.6"/>
  <cols>
    <col min="1" max="1" width="9.33203125" style="33" customWidth="1"/>
    <col min="2" max="2" width="8.88671875" style="33" customWidth="1"/>
    <col min="3" max="3" width="53.109375" style="33" customWidth="1"/>
    <col min="4" max="4" width="9.109375" style="33" bestFit="1" customWidth="1"/>
    <col min="5" max="7" width="11.109375" style="33" bestFit="1" customWidth="1"/>
    <col min="8" max="9" width="15.77734375" style="33" customWidth="1"/>
    <col min="10" max="10" width="13.6640625" style="33" customWidth="1"/>
    <col min="11" max="11" width="17.44140625" style="33" customWidth="1"/>
    <col min="12" max="12" width="16.77734375" style="33" customWidth="1"/>
    <col min="13" max="13" width="14.109375" style="33" customWidth="1"/>
    <col min="14" max="14" width="8.88671875" style="33"/>
    <col min="15" max="15" width="17.44140625" style="33" customWidth="1"/>
    <col min="16" max="16384" width="8.88671875" style="33"/>
  </cols>
  <sheetData>
    <row r="1" spans="1:21" ht="16.2" thickBot="1"/>
    <row r="2" spans="1:21" ht="24" customHeight="1" thickTop="1" thickBot="1">
      <c r="B2" s="197" t="s">
        <v>178</v>
      </c>
      <c r="C2" s="198"/>
      <c r="D2" s="198"/>
      <c r="E2" s="198"/>
      <c r="F2" s="198"/>
      <c r="G2" s="198"/>
      <c r="H2" s="198"/>
      <c r="I2" s="199"/>
      <c r="R2" s="51"/>
    </row>
    <row r="3" spans="1:21" ht="17.55" customHeight="1" thickTop="1">
      <c r="B3" s="202" t="s">
        <v>45</v>
      </c>
      <c r="C3" s="203"/>
      <c r="D3" s="202" t="str">
        <f>"期望"&amp;普通兑换道具</f>
        <v>期望桃花兔灯</v>
      </c>
      <c r="E3" s="206"/>
      <c r="F3" s="203"/>
      <c r="G3" s="206" t="str">
        <f>"期望"&amp;高级兑换道具</f>
        <v>期望华彩兔灯</v>
      </c>
      <c r="H3" s="206"/>
      <c r="I3" s="203"/>
      <c r="R3" s="51"/>
    </row>
    <row r="4" spans="1:21" ht="12.6" customHeight="1">
      <c r="B4" s="204"/>
      <c r="C4" s="205"/>
      <c r="D4" s="204"/>
      <c r="E4" s="207"/>
      <c r="F4" s="205"/>
      <c r="G4" s="207"/>
      <c r="H4" s="207"/>
      <c r="I4" s="205"/>
      <c r="R4" s="51"/>
      <c r="T4" s="52"/>
      <c r="U4" s="52"/>
    </row>
    <row r="5" spans="1:21" ht="20.85" customHeight="1" thickBot="1">
      <c r="B5" s="200" t="s">
        <v>181</v>
      </c>
      <c r="C5" s="201"/>
      <c r="D5" s="210">
        <f>月兔寻宝13500翡翠氪金攻略!O25</f>
        <v>71680</v>
      </c>
      <c r="E5" s="211"/>
      <c r="F5" s="212"/>
      <c r="G5" s="208">
        <f>月兔寻宝13500翡翠氪金攻略!O26</f>
        <v>2934.67</v>
      </c>
      <c r="H5" s="208"/>
      <c r="I5" s="209"/>
      <c r="R5" s="51"/>
      <c r="T5" s="52"/>
      <c r="U5" s="52"/>
    </row>
    <row r="6" spans="1:21" ht="17.55" customHeight="1" thickTop="1">
      <c r="B6" s="191" t="s">
        <v>177</v>
      </c>
      <c r="C6" s="192"/>
      <c r="D6" s="192"/>
      <c r="E6" s="192"/>
      <c r="F6" s="192"/>
      <c r="G6" s="192"/>
      <c r="H6" s="192"/>
      <c r="I6" s="193"/>
      <c r="R6" s="51"/>
    </row>
    <row r="7" spans="1:21" ht="17.55" customHeight="1" thickBot="1">
      <c r="B7" s="194"/>
      <c r="C7" s="195"/>
      <c r="D7" s="195"/>
      <c r="E7" s="195"/>
      <c r="F7" s="195"/>
      <c r="G7" s="195"/>
      <c r="H7" s="195"/>
      <c r="I7" s="196"/>
      <c r="R7" s="51"/>
    </row>
    <row r="8" spans="1:21" ht="32.4" customHeight="1" thickTop="1">
      <c r="A8" s="43" t="s">
        <v>95</v>
      </c>
      <c r="B8" s="42" t="s">
        <v>35</v>
      </c>
      <c r="C8" s="43" t="s">
        <v>44</v>
      </c>
      <c r="D8" s="43" t="str">
        <f>月兔寻宝13500翡翠氪金攻略!B20</f>
        <v>目标档位</v>
      </c>
      <c r="E8" s="43" t="str">
        <f>月兔寻宝13500翡翠氪金攻略!B13</f>
        <v>使用月兔券</v>
      </c>
      <c r="F8" s="43" t="str">
        <f>月兔寻宝13500翡翠氪金攻略!B14</f>
        <v>剩余月兔券</v>
      </c>
      <c r="G8" s="43" t="str">
        <f>月兔寻宝13500翡翠氪金攻略!B16</f>
        <v>剩余随机箱</v>
      </c>
      <c r="H8" s="43" t="str">
        <f>"期望"&amp;普通兑换道具</f>
        <v>期望桃花兔灯</v>
      </c>
      <c r="I8" s="44" t="str">
        <f>"期望"&amp;高级兑换道具</f>
        <v>期望华彩兔灯</v>
      </c>
      <c r="J8" s="44" t="s">
        <v>94</v>
      </c>
      <c r="R8" s="51"/>
    </row>
    <row r="9" spans="1:21" ht="36">
      <c r="B9" s="40" t="s">
        <v>36</v>
      </c>
      <c r="C9" s="36" t="s">
        <v>157</v>
      </c>
      <c r="D9" s="36" t="str">
        <f>月兔寻宝13500翡翠氪金攻略!C20</f>
        <v>第2档</v>
      </c>
      <c r="E9" s="36">
        <f>月兔寻宝13500翡翠氪金攻略!C13</f>
        <v>0</v>
      </c>
      <c r="F9" s="36">
        <f>月兔寻宝13500翡翠氪金攻略!C14</f>
        <v>148</v>
      </c>
      <c r="G9" s="36">
        <f>月兔寻宝13500翡翠氪金攻略!C16</f>
        <v>6</v>
      </c>
      <c r="H9" s="37">
        <f>月兔寻宝13500翡翠氪金攻略!C25</f>
        <v>0</v>
      </c>
      <c r="I9" s="41">
        <f>月兔寻宝13500翡翠氪金攻略!C26</f>
        <v>0</v>
      </c>
      <c r="J9" s="83">
        <f>月兔寻宝13500翡翠氪金攻略!D20</f>
        <v>2960</v>
      </c>
      <c r="R9" s="51"/>
    </row>
    <row r="10" spans="1:21" ht="28.2">
      <c r="B10" s="38" t="s">
        <v>37</v>
      </c>
      <c r="C10" s="34" t="s">
        <v>158</v>
      </c>
      <c r="D10" s="34" t="str">
        <f>月兔寻宝13500翡翠氪金攻略!E20</f>
        <v>第2档</v>
      </c>
      <c r="E10" s="34">
        <f>月兔寻宝13500翡翠氪金攻略!E13</f>
        <v>50</v>
      </c>
      <c r="F10" s="34">
        <f>月兔寻宝13500翡翠氪金攻略!E14</f>
        <v>241</v>
      </c>
      <c r="G10" s="34">
        <f>月兔寻宝13500翡翠氪金攻略!E16</f>
        <v>12</v>
      </c>
      <c r="H10" s="35">
        <f>月兔寻宝13500翡翠氪金攻略!E25</f>
        <v>2750</v>
      </c>
      <c r="I10" s="39">
        <f>月兔寻宝13500翡翠氪金攻略!E26</f>
        <v>40.5</v>
      </c>
      <c r="J10" s="83">
        <f>月兔寻宝13500翡翠氪金攻略!F20</f>
        <v>2900.5</v>
      </c>
      <c r="R10" s="51"/>
    </row>
    <row r="11" spans="1:21" ht="39.6">
      <c r="A11" s="33" t="s">
        <v>174</v>
      </c>
      <c r="B11" s="38" t="s">
        <v>38</v>
      </c>
      <c r="C11" s="34" t="s">
        <v>175</v>
      </c>
      <c r="D11" s="34" t="str">
        <f>月兔寻宝13500翡翠氪金攻略!G20</f>
        <v>第3档</v>
      </c>
      <c r="E11" s="35">
        <f>月兔寻宝13500翡翠氪金攻略!G13</f>
        <v>175</v>
      </c>
      <c r="F11" s="35">
        <f>月兔寻宝13500翡翠氪金攻略!G14</f>
        <v>259</v>
      </c>
      <c r="G11" s="35">
        <f>月兔寻宝13500翡翠氪金攻略!G16</f>
        <v>30</v>
      </c>
      <c r="H11" s="35">
        <f>月兔寻宝13500翡翠氪金攻略!G25</f>
        <v>12375</v>
      </c>
      <c r="I11" s="39">
        <f>月兔寻宝13500翡翠氪金攻略!G26</f>
        <v>182.25</v>
      </c>
      <c r="J11" s="83">
        <f>月兔寻宝13500翡翠氪金攻略!H20</f>
        <v>4001.75</v>
      </c>
      <c r="R11" s="51"/>
    </row>
    <row r="12" spans="1:21" ht="39.6">
      <c r="A12" s="33" t="s">
        <v>174</v>
      </c>
      <c r="B12" s="38" t="s">
        <v>39</v>
      </c>
      <c r="C12" s="34" t="s">
        <v>175</v>
      </c>
      <c r="D12" s="34" t="str">
        <f>月兔寻宝13500翡翠氪金攻略!I20</f>
        <v>第3档</v>
      </c>
      <c r="E12" s="35">
        <f>月兔寻宝13500翡翠氪金攻略!I13</f>
        <v>175</v>
      </c>
      <c r="F12" s="35">
        <f>月兔寻宝13500翡翠氪金攻略!I14</f>
        <v>277</v>
      </c>
      <c r="G12" s="35">
        <f>月兔寻宝13500翡翠氪金攻略!I16</f>
        <v>48</v>
      </c>
      <c r="H12" s="35">
        <f>月兔寻宝13500翡翠氪金攻略!I25</f>
        <v>22000</v>
      </c>
      <c r="I12" s="39">
        <f>月兔寻宝13500翡翠氪金攻略!I26</f>
        <v>324</v>
      </c>
      <c r="J12" s="83">
        <f>月兔寻宝13500翡翠氪金攻略!J20</f>
        <v>4001.75</v>
      </c>
      <c r="R12" s="51"/>
    </row>
    <row r="13" spans="1:21" ht="39.6">
      <c r="A13" s="33" t="s">
        <v>174</v>
      </c>
      <c r="B13" s="38" t="s">
        <v>40</v>
      </c>
      <c r="C13" s="34" t="s">
        <v>175</v>
      </c>
      <c r="D13" s="34" t="str">
        <f>月兔寻宝13500翡翠氪金攻略!K20</f>
        <v>第3档</v>
      </c>
      <c r="E13" s="34">
        <f>月兔寻宝13500翡翠氪金攻略!K13</f>
        <v>175</v>
      </c>
      <c r="F13" s="34">
        <f>月兔寻宝13500翡翠氪金攻略!K14</f>
        <v>295</v>
      </c>
      <c r="G13" s="34">
        <f>月兔寻宝13500翡翠氪金攻略!K16</f>
        <v>66</v>
      </c>
      <c r="H13" s="35">
        <f>月兔寻宝13500翡翠氪金攻略!K25</f>
        <v>31625</v>
      </c>
      <c r="I13" s="39">
        <f>月兔寻宝13500翡翠氪金攻略!K26</f>
        <v>465.75</v>
      </c>
      <c r="J13" s="83">
        <f>月兔寻宝13500翡翠氪金攻略!L20</f>
        <v>4001.75</v>
      </c>
      <c r="R13" s="51"/>
    </row>
    <row r="14" spans="1:21" ht="39.6">
      <c r="A14" s="33" t="s">
        <v>174</v>
      </c>
      <c r="B14" s="38" t="s">
        <v>41</v>
      </c>
      <c r="C14" s="34" t="s">
        <v>175</v>
      </c>
      <c r="D14" s="34" t="str">
        <f>月兔寻宝13500翡翠氪金攻略!M20</f>
        <v>第3档</v>
      </c>
      <c r="E14" s="34">
        <f>月兔寻宝13500翡翠氪金攻略!M13</f>
        <v>175</v>
      </c>
      <c r="F14" s="34">
        <f>月兔寻宝13500翡翠氪金攻略!M14</f>
        <v>313</v>
      </c>
      <c r="G14" s="34">
        <f>月兔寻宝13500翡翠氪金攻略!M16</f>
        <v>84</v>
      </c>
      <c r="H14" s="35">
        <f>月兔寻宝13500翡翠氪金攻略!M25</f>
        <v>41250</v>
      </c>
      <c r="I14" s="39">
        <f>月兔寻宝13500翡翠氪金攻略!M26</f>
        <v>607.5</v>
      </c>
      <c r="J14" s="83">
        <f>月兔寻宝13500翡翠氪金攻略!N20</f>
        <v>4001.75</v>
      </c>
      <c r="R14" s="51"/>
    </row>
    <row r="15" spans="1:21" ht="60.6" thickBot="1">
      <c r="A15" s="33" t="s">
        <v>174</v>
      </c>
      <c r="B15" s="45" t="s">
        <v>42</v>
      </c>
      <c r="C15" s="47" t="s">
        <v>176</v>
      </c>
      <c r="D15" s="47" t="str">
        <f>月兔寻宝13500翡翠氪金攻略!O20</f>
        <v>第4档</v>
      </c>
      <c r="E15" s="46">
        <f>月兔寻宝13500翡翠氪金攻略!O13</f>
        <v>606</v>
      </c>
      <c r="F15" s="46">
        <f>月兔寻宝13500翡翠氪金攻略!O14</f>
        <v>0</v>
      </c>
      <c r="G15" s="46">
        <f>月兔寻宝13500翡翠氪金攻略!O16</f>
        <v>0</v>
      </c>
      <c r="H15" s="47">
        <f>月兔寻宝13500翡翠氪金攻略!O25</f>
        <v>71680</v>
      </c>
      <c r="I15" s="48">
        <f>月兔寻宝13500翡翠氪金攻略!O26</f>
        <v>2934.67</v>
      </c>
      <c r="J15" s="83">
        <f>月兔寻宝13500翡翠氪金攻略!P20</f>
        <v>8187.17</v>
      </c>
      <c r="R15" s="51"/>
    </row>
    <row r="16" spans="1:21" ht="21" customHeight="1" thickTop="1" thickBot="1">
      <c r="B16" s="88"/>
      <c r="C16" s="89"/>
      <c r="D16" s="90"/>
      <c r="E16" s="89"/>
      <c r="F16" s="89"/>
      <c r="G16" s="89"/>
      <c r="H16" s="90"/>
      <c r="I16" s="91"/>
      <c r="R16" s="51"/>
    </row>
    <row r="17" spans="2:18" ht="18.45" customHeight="1" thickTop="1">
      <c r="B17" s="185" t="s">
        <v>43</v>
      </c>
      <c r="C17" s="186"/>
      <c r="D17" s="186"/>
      <c r="E17" s="186"/>
      <c r="F17" s="186"/>
      <c r="G17" s="186"/>
      <c r="H17" s="186"/>
      <c r="I17" s="187"/>
      <c r="R17" s="51"/>
    </row>
    <row r="18" spans="2:18" ht="66" customHeight="1" thickBot="1">
      <c r="B18" s="188" t="s">
        <v>180</v>
      </c>
      <c r="C18" s="189"/>
      <c r="D18" s="189"/>
      <c r="E18" s="189"/>
      <c r="F18" s="189"/>
      <c r="G18" s="189"/>
      <c r="H18" s="189"/>
      <c r="I18" s="190"/>
      <c r="R18" s="51"/>
    </row>
    <row r="19" spans="2:18" ht="34.5" customHeight="1" thickTop="1">
      <c r="B19" s="53" t="s">
        <v>88</v>
      </c>
      <c r="C19" s="53"/>
      <c r="D19" s="53"/>
      <c r="E19" s="53"/>
      <c r="F19" s="53"/>
      <c r="G19" s="53"/>
      <c r="H19" s="53"/>
      <c r="I19" s="53"/>
      <c r="R19" s="51"/>
    </row>
    <row r="20" spans="2:18" ht="12.9" customHeight="1">
      <c r="B20" s="53"/>
      <c r="C20" s="53"/>
      <c r="D20" s="53"/>
      <c r="E20" s="53"/>
      <c r="F20" s="53"/>
      <c r="G20" s="53"/>
      <c r="H20" s="53"/>
      <c r="I20" s="53"/>
      <c r="R20" s="51"/>
    </row>
    <row r="21" spans="2:18" ht="15.6" customHeight="1">
      <c r="R21" s="51"/>
    </row>
    <row r="22" spans="2:18" ht="16.2" customHeight="1">
      <c r="B22" s="54"/>
      <c r="C22" s="54"/>
      <c r="D22" s="54"/>
      <c r="E22" s="54"/>
      <c r="F22" s="54"/>
      <c r="G22" s="54"/>
      <c r="H22" s="54"/>
      <c r="I22" s="54"/>
      <c r="R22" s="51"/>
    </row>
    <row r="23" spans="2:18" ht="15.3" customHeight="1">
      <c r="B23" s="54"/>
      <c r="C23" s="54"/>
      <c r="D23" s="54"/>
      <c r="E23" s="54"/>
      <c r="F23" s="54"/>
      <c r="G23" s="54"/>
      <c r="H23" s="54"/>
      <c r="I23" s="54"/>
      <c r="R23" s="51"/>
    </row>
    <row r="24" spans="2:18" ht="22.95" customHeight="1">
      <c r="B24" s="54"/>
      <c r="C24" s="54"/>
      <c r="D24" s="54"/>
      <c r="E24" s="54"/>
      <c r="F24" s="54"/>
      <c r="G24" s="54"/>
      <c r="H24" s="54"/>
      <c r="I24" s="54"/>
      <c r="R24" s="51"/>
    </row>
    <row r="25" spans="2:18" ht="22.95" customHeight="1">
      <c r="N25" s="51"/>
      <c r="O25" s="51"/>
      <c r="P25" s="51"/>
      <c r="Q25" s="51"/>
      <c r="R25" s="51"/>
    </row>
    <row r="26" spans="2:18" ht="22.95" customHeight="1">
      <c r="N26" s="51"/>
      <c r="O26" s="51"/>
      <c r="P26" s="51"/>
      <c r="Q26" s="51"/>
      <c r="R26" s="51"/>
    </row>
    <row r="27" spans="2:18" ht="15.6" customHeight="1">
      <c r="N27" s="51"/>
      <c r="O27" s="51"/>
      <c r="P27" s="51"/>
      <c r="Q27" s="51"/>
      <c r="R27" s="51"/>
    </row>
    <row r="28" spans="2:18" ht="20.55" customHeight="1">
      <c r="N28" s="51"/>
      <c r="O28" s="51"/>
      <c r="P28" s="51"/>
      <c r="Q28" s="51"/>
      <c r="R28" s="51"/>
    </row>
    <row r="29" spans="2:18" ht="15.6" customHeight="1">
      <c r="N29" s="51"/>
      <c r="O29" s="51"/>
      <c r="P29" s="51"/>
      <c r="Q29" s="51"/>
      <c r="R29" s="51"/>
    </row>
    <row r="30" spans="2:18" ht="17.850000000000001" customHeight="1"/>
  </sheetData>
  <mergeCells count="10">
    <mergeCell ref="B6:I7"/>
    <mergeCell ref="B17:I17"/>
    <mergeCell ref="B18:I18"/>
    <mergeCell ref="B2:I2"/>
    <mergeCell ref="B3:C4"/>
    <mergeCell ref="D3:F4"/>
    <mergeCell ref="G3:I4"/>
    <mergeCell ref="B5:C5"/>
    <mergeCell ref="D5:F5"/>
    <mergeCell ref="G5:I5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45</vt:i4>
      </vt:variant>
    </vt:vector>
  </HeadingPairs>
  <TitlesOfParts>
    <vt:vector size="54" baseType="lpstr">
      <vt:lpstr>氪金转盘</vt:lpstr>
      <vt:lpstr>兑换列表</vt:lpstr>
      <vt:lpstr>基础计算设置</vt:lpstr>
      <vt:lpstr>月兔寻宝10.5w</vt:lpstr>
      <vt:lpstr>月兔寻宝10.5w钻攻略图</vt:lpstr>
      <vt:lpstr>月兔寻宝4.5w</vt:lpstr>
      <vt:lpstr>月兔寻宝4.5w钻攻略图</vt:lpstr>
      <vt:lpstr>月兔寻宝13500翡翠氪金攻略</vt:lpstr>
      <vt:lpstr>月兔寻宝13500翡翠氪金攻略图</vt:lpstr>
      <vt:lpstr>抽奖道具</vt:lpstr>
      <vt:lpstr>抽奖道具礼包1</vt:lpstr>
      <vt:lpstr>抽奖道具礼包2</vt:lpstr>
      <vt:lpstr>抽奖道具礼包3</vt:lpstr>
      <vt:lpstr>抽奖道具礼包4</vt:lpstr>
      <vt:lpstr>抽奖道具礼包5</vt:lpstr>
      <vt:lpstr>抽奖道具礼包6</vt:lpstr>
      <vt:lpstr>抽奖道具礼包7</vt:lpstr>
      <vt:lpstr>抽奖道具礼包道具数</vt:lpstr>
      <vt:lpstr>抽奖道具礼包翡翠</vt:lpstr>
      <vt:lpstr>抽奖道具礼包价格</vt:lpstr>
      <vt:lpstr>档位积分1</vt:lpstr>
      <vt:lpstr>档位积分2</vt:lpstr>
      <vt:lpstr>档位积分3</vt:lpstr>
      <vt:lpstr>档位积分4</vt:lpstr>
      <vt:lpstr>档位积分5</vt:lpstr>
      <vt:lpstr>档位奖励1</vt:lpstr>
      <vt:lpstr>档位奖励2</vt:lpstr>
      <vt:lpstr>档位奖励3</vt:lpstr>
      <vt:lpstr>档位奖励4</vt:lpstr>
      <vt:lpstr>档位奖励5</vt:lpstr>
      <vt:lpstr>第1档</vt:lpstr>
      <vt:lpstr>第5档</vt:lpstr>
      <vt:lpstr>翡翠100</vt:lpstr>
      <vt:lpstr>翡翠10000</vt:lpstr>
      <vt:lpstr>高级兑换道具</vt:lpstr>
      <vt:lpstr>高级兑换道具抽奖期望</vt:lpstr>
      <vt:lpstr>高级兑换道具礼包1</vt:lpstr>
      <vt:lpstr>高级兑换道具礼包2</vt:lpstr>
      <vt:lpstr>高级兑换道具礼包3</vt:lpstr>
      <vt:lpstr>高级兑换道具礼包4</vt:lpstr>
      <vt:lpstr>高级兑换道具礼包道具数</vt:lpstr>
      <vt:lpstr>高级兑换道具礼包翡翠</vt:lpstr>
      <vt:lpstr>高级兑换道具礼包价格</vt:lpstr>
      <vt:lpstr>积分规则1</vt:lpstr>
      <vt:lpstr>积分规则2</vt:lpstr>
      <vt:lpstr>积分规则3</vt:lpstr>
      <vt:lpstr>价格6</vt:lpstr>
      <vt:lpstr>价格648</vt:lpstr>
      <vt:lpstr>普通兑换道具</vt:lpstr>
      <vt:lpstr>普通兑换道具抽奖期望</vt:lpstr>
      <vt:lpstr>随机箱高级道具期望</vt:lpstr>
      <vt:lpstr>随机箱积分</vt:lpstr>
      <vt:lpstr>钻石购买</vt:lpstr>
      <vt:lpstr>钻石限购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chicken tree</cp:lastModifiedBy>
  <dcterms:modified xsi:type="dcterms:W3CDTF">2026-09-21T12:39:39Z</dcterms:modified>
</cp:coreProperties>
</file>