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卡皮模拟\攻略图生成器\excel\"/>
    </mc:Choice>
  </mc:AlternateContent>
  <xr:revisionPtr revIDLastSave="0" documentId="13_ncr:1_{76459C3D-38FE-4EEE-BB91-E1A165408D4C}" xr6:coauthVersionLast="47" xr6:coauthVersionMax="47" xr10:uidLastSave="{00000000-0000-0000-0000-000000000000}"/>
  <bookViews>
    <workbookView xWindow="22932" yWindow="-108" windowWidth="23256" windowHeight="12456" firstSheet="3" activeTab="5" xr2:uid="{00000000-000D-0000-FFFF-FFFF00000000}"/>
  </bookViews>
  <sheets>
    <sheet name="兑换列表" sheetId="7" r:id="rId1"/>
    <sheet name="基础计算设置" sheetId="2" r:id="rId2"/>
    <sheet name="哥布林弹珠5w" sheetId="3" r:id="rId3"/>
    <sheet name="哥布林5w钻攻略图" sheetId="4" r:id="rId4"/>
    <sheet name="哥布林弹珠1.3w" sheetId="8" r:id="rId5"/>
    <sheet name="哥布林1.3w钻攻略图" sheetId="9" r:id="rId6"/>
    <sheet name="哥布林弹珠氪金" sheetId="10" r:id="rId7"/>
    <sheet name="哥布林4500翡翠攻略图" sheetId="11" r:id="rId8"/>
  </sheets>
  <definedNames>
    <definedName name="抽奖道具">基础计算设置!$B$1</definedName>
    <definedName name="档位积分1">基础计算设置!$B$6</definedName>
    <definedName name="档位积分2">基础计算设置!$B$7</definedName>
    <definedName name="档位积分3">基础计算设置!$B$8</definedName>
    <definedName name="档位积分4">基础计算设置!$B$9</definedName>
    <definedName name="档位积分5">基础计算设置!$B$10</definedName>
    <definedName name="档位奖励1">基础计算设置!$C$6</definedName>
    <definedName name="档位奖励2">基础计算设置!$C$7</definedName>
    <definedName name="档位奖励3">基础计算设置!$C$8</definedName>
    <definedName name="档位奖励4">基础计算设置!$C$9</definedName>
    <definedName name="档位奖励5">基础计算设置!$C$10</definedName>
    <definedName name="第1档">基础计算设置!$A$6</definedName>
    <definedName name="第5档">基础计算设置!$A$10</definedName>
    <definedName name="翡翠100">基础计算设置!$B$29</definedName>
    <definedName name="翡翠10000">基础计算设置!$B$36</definedName>
    <definedName name="高级兑换道具">基础计算设置!$B$3</definedName>
    <definedName name="高级兑换道具数量">基础计算设置!$N$16</definedName>
    <definedName name="积分规则1">基础计算设置!$B$13</definedName>
    <definedName name="积分规则2">基础计算设置!$B$14</definedName>
    <definedName name="积分规则3">基础计算设置!$I$9</definedName>
    <definedName name="价格6">基础计算设置!$A$29</definedName>
    <definedName name="价格648">基础计算设置!$A$36</definedName>
    <definedName name="普通兑换道具">基础计算设置!$B$2</definedName>
    <definedName name="普通兑换道具数量">基础计算设置!$N$9</definedName>
    <definedName name="实测高级兑换道具数量">基础计算设置!$W$3</definedName>
    <definedName name="实测普通兑换道具数量">基础计算设置!$V$3</definedName>
    <definedName name="随机箱高级道具">基础计算设置!$C$26</definedName>
    <definedName name="随机箱积分">基础计算设置!$D$26</definedName>
    <definedName name="钻石购买">基础计算设置!$B$18</definedName>
    <definedName name="钻石限购">基础计算设置!$B$19</definedName>
  </definedNames>
  <calcPr calcId="181029"/>
</workbook>
</file>

<file path=xl/calcChain.xml><?xml version="1.0" encoding="utf-8"?>
<calcChain xmlns="http://schemas.openxmlformats.org/spreadsheetml/2006/main">
  <c r="P13" i="10" l="1"/>
  <c r="E18" i="11"/>
  <c r="E17" i="11"/>
  <c r="E16" i="11"/>
  <c r="E15" i="11"/>
  <c r="E14" i="11"/>
  <c r="E13" i="11"/>
  <c r="E12" i="11"/>
  <c r="I11" i="11"/>
  <c r="H11" i="11"/>
  <c r="G11" i="11"/>
  <c r="D11" i="11"/>
  <c r="G4" i="11"/>
  <c r="D4" i="11"/>
  <c r="I32" i="10"/>
  <c r="C32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C25" i="10"/>
  <c r="I12" i="11" s="1"/>
  <c r="B25" i="10"/>
  <c r="C24" i="10"/>
  <c r="H12" i="11" s="1"/>
  <c r="B24" i="10"/>
  <c r="D22" i="10"/>
  <c r="C22" i="10"/>
  <c r="E22" i="10" s="1"/>
  <c r="G22" i="10" s="1"/>
  <c r="I22" i="10" s="1"/>
  <c r="K22" i="10" s="1"/>
  <c r="M22" i="10" s="1"/>
  <c r="O22" i="10" s="1"/>
  <c r="B22" i="10"/>
  <c r="P17" i="10"/>
  <c r="N17" i="10"/>
  <c r="L17" i="10"/>
  <c r="J17" i="10"/>
  <c r="H17" i="10"/>
  <c r="F17" i="10"/>
  <c r="D17" i="10"/>
  <c r="B17" i="10"/>
  <c r="B14" i="10"/>
  <c r="F11" i="11" s="1"/>
  <c r="B13" i="10"/>
  <c r="E11" i="11" s="1"/>
  <c r="N12" i="10"/>
  <c r="L12" i="10"/>
  <c r="J12" i="10"/>
  <c r="H12" i="10"/>
  <c r="F12" i="10"/>
  <c r="D12" i="10"/>
  <c r="P11" i="10"/>
  <c r="N11" i="10"/>
  <c r="L11" i="10"/>
  <c r="J11" i="10"/>
  <c r="H11" i="10"/>
  <c r="F11" i="10"/>
  <c r="D11" i="10"/>
  <c r="P10" i="10"/>
  <c r="N10" i="10"/>
  <c r="L10" i="10"/>
  <c r="J10" i="10"/>
  <c r="H10" i="10"/>
  <c r="F10" i="10"/>
  <c r="D10" i="10"/>
  <c r="P9" i="10"/>
  <c r="N9" i="10"/>
  <c r="L9" i="10"/>
  <c r="J9" i="10"/>
  <c r="H9" i="10"/>
  <c r="F9" i="10"/>
  <c r="D9" i="10"/>
  <c r="P8" i="10"/>
  <c r="N8" i="10"/>
  <c r="L8" i="10"/>
  <c r="J8" i="10"/>
  <c r="H8" i="10"/>
  <c r="F8" i="10"/>
  <c r="D8" i="10"/>
  <c r="P7" i="10"/>
  <c r="N7" i="10"/>
  <c r="L7" i="10"/>
  <c r="J7" i="10"/>
  <c r="H7" i="10"/>
  <c r="F7" i="10"/>
  <c r="D7" i="10"/>
  <c r="P6" i="10"/>
  <c r="N6" i="10"/>
  <c r="L6" i="10"/>
  <c r="J6" i="10"/>
  <c r="H6" i="10"/>
  <c r="F6" i="10"/>
  <c r="D6" i="10"/>
  <c r="P5" i="10"/>
  <c r="N5" i="10"/>
  <c r="L5" i="10"/>
  <c r="J5" i="10"/>
  <c r="H5" i="10"/>
  <c r="F5" i="10"/>
  <c r="D5" i="10"/>
  <c r="P4" i="10"/>
  <c r="N4" i="10"/>
  <c r="L4" i="10"/>
  <c r="J4" i="10"/>
  <c r="H4" i="10"/>
  <c r="F4" i="10"/>
  <c r="D4" i="10"/>
  <c r="O3" i="10"/>
  <c r="M3" i="10"/>
  <c r="K3" i="10"/>
  <c r="I3" i="10"/>
  <c r="G3" i="10"/>
  <c r="E3" i="10"/>
  <c r="C3" i="10"/>
  <c r="E18" i="9"/>
  <c r="E17" i="9"/>
  <c r="E16" i="9"/>
  <c r="E15" i="9"/>
  <c r="E14" i="9"/>
  <c r="E13" i="9"/>
  <c r="E12" i="9"/>
  <c r="I11" i="9"/>
  <c r="H11" i="9"/>
  <c r="G11" i="9"/>
  <c r="D11" i="9"/>
  <c r="G4" i="9"/>
  <c r="D4" i="9"/>
  <c r="I32" i="8"/>
  <c r="C32" i="8"/>
  <c r="B6" i="9" s="1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P29" i="8"/>
  <c r="O29" i="8"/>
  <c r="N29" i="8"/>
  <c r="M29" i="8"/>
  <c r="L29" i="8"/>
  <c r="K29" i="8"/>
  <c r="J29" i="8"/>
  <c r="I29" i="8"/>
  <c r="H29" i="8"/>
  <c r="M32" i="8" s="1"/>
  <c r="G29" i="8"/>
  <c r="F29" i="8"/>
  <c r="E29" i="8"/>
  <c r="D29" i="8"/>
  <c r="C29" i="8"/>
  <c r="C25" i="8"/>
  <c r="E25" i="8" s="1"/>
  <c r="I13" i="9" s="1"/>
  <c r="B25" i="8"/>
  <c r="C24" i="8"/>
  <c r="H12" i="9" s="1"/>
  <c r="B24" i="8"/>
  <c r="D22" i="8"/>
  <c r="C22" i="8"/>
  <c r="C14" i="8" s="1"/>
  <c r="B22" i="8"/>
  <c r="P17" i="8"/>
  <c r="N17" i="8"/>
  <c r="L17" i="8"/>
  <c r="J17" i="8"/>
  <c r="H17" i="8"/>
  <c r="F17" i="8"/>
  <c r="D17" i="8"/>
  <c r="B17" i="8"/>
  <c r="B14" i="8"/>
  <c r="F11" i="9" s="1"/>
  <c r="B13" i="8"/>
  <c r="E11" i="9" s="1"/>
  <c r="P12" i="8"/>
  <c r="N12" i="8"/>
  <c r="L12" i="8"/>
  <c r="J12" i="8"/>
  <c r="H12" i="8"/>
  <c r="F12" i="8"/>
  <c r="D12" i="8"/>
  <c r="P11" i="8"/>
  <c r="N11" i="8"/>
  <c r="L11" i="8"/>
  <c r="J11" i="8"/>
  <c r="H11" i="8"/>
  <c r="F11" i="8"/>
  <c r="D11" i="8"/>
  <c r="P10" i="8"/>
  <c r="N10" i="8"/>
  <c r="L10" i="8"/>
  <c r="J10" i="8"/>
  <c r="H10" i="8"/>
  <c r="F10" i="8"/>
  <c r="D10" i="8"/>
  <c r="P9" i="8"/>
  <c r="N9" i="8"/>
  <c r="L9" i="8"/>
  <c r="J9" i="8"/>
  <c r="H9" i="8"/>
  <c r="F9" i="8"/>
  <c r="D9" i="8"/>
  <c r="P8" i="8"/>
  <c r="N8" i="8"/>
  <c r="L8" i="8"/>
  <c r="J8" i="8"/>
  <c r="H8" i="8"/>
  <c r="F8" i="8"/>
  <c r="D8" i="8"/>
  <c r="P7" i="8"/>
  <c r="N7" i="8"/>
  <c r="L7" i="8"/>
  <c r="J7" i="8"/>
  <c r="H7" i="8"/>
  <c r="F7" i="8"/>
  <c r="D7" i="8"/>
  <c r="P6" i="8"/>
  <c r="N6" i="8"/>
  <c r="L6" i="8"/>
  <c r="J6" i="8"/>
  <c r="H6" i="8"/>
  <c r="F6" i="8"/>
  <c r="D6" i="8"/>
  <c r="P5" i="8"/>
  <c r="N5" i="8"/>
  <c r="L5" i="8"/>
  <c r="J5" i="8"/>
  <c r="H5" i="8"/>
  <c r="F5" i="8"/>
  <c r="D5" i="8"/>
  <c r="P4" i="8"/>
  <c r="N4" i="8"/>
  <c r="L4" i="8"/>
  <c r="J4" i="8"/>
  <c r="H4" i="8"/>
  <c r="F4" i="8"/>
  <c r="D4" i="8"/>
  <c r="O3" i="8"/>
  <c r="M3" i="8"/>
  <c r="K3" i="8"/>
  <c r="I3" i="8"/>
  <c r="G3" i="8"/>
  <c r="E3" i="8"/>
  <c r="C3" i="8"/>
  <c r="B17" i="3"/>
  <c r="N10" i="3"/>
  <c r="L10" i="3"/>
  <c r="J10" i="3"/>
  <c r="H10" i="3"/>
  <c r="F10" i="3"/>
  <c r="D10" i="3"/>
  <c r="P10" i="3"/>
  <c r="C25" i="3"/>
  <c r="N9" i="2"/>
  <c r="I4" i="2"/>
  <c r="I3" i="2"/>
  <c r="I9" i="2" s="1"/>
  <c r="M16" i="2"/>
  <c r="M9" i="2"/>
  <c r="C14" i="10" l="1"/>
  <c r="E14" i="10" s="1"/>
  <c r="F13" i="11" s="1"/>
  <c r="E24" i="10"/>
  <c r="H13" i="11" s="1"/>
  <c r="E25" i="10"/>
  <c r="I13" i="11" s="1"/>
  <c r="M32" i="10"/>
  <c r="B6" i="11" s="1"/>
  <c r="F13" i="8"/>
  <c r="F13" i="10"/>
  <c r="D13" i="10"/>
  <c r="H13" i="8"/>
  <c r="L13" i="10"/>
  <c r="J13" i="8"/>
  <c r="N13" i="10"/>
  <c r="H13" i="10"/>
  <c r="F13" i="3"/>
  <c r="J13" i="10"/>
  <c r="H13" i="3"/>
  <c r="F12" i="11"/>
  <c r="I12" i="9"/>
  <c r="E24" i="8"/>
  <c r="H13" i="9" s="1"/>
  <c r="G24" i="8"/>
  <c r="H14" i="9" s="1"/>
  <c r="G25" i="8"/>
  <c r="I14" i="9" s="1"/>
  <c r="E14" i="8"/>
  <c r="F12" i="9"/>
  <c r="D13" i="3"/>
  <c r="L13" i="8"/>
  <c r="E22" i="8"/>
  <c r="G22" i="8" s="1"/>
  <c r="I22" i="8" s="1"/>
  <c r="K22" i="8" s="1"/>
  <c r="M22" i="8" s="1"/>
  <c r="O22" i="8" s="1"/>
  <c r="P13" i="8"/>
  <c r="N13" i="8"/>
  <c r="N13" i="3"/>
  <c r="L13" i="3"/>
  <c r="D13" i="8"/>
  <c r="P13" i="3"/>
  <c r="J13" i="3"/>
  <c r="N14" i="2"/>
  <c r="N13" i="2"/>
  <c r="F4" i="2"/>
  <c r="F3" i="2"/>
  <c r="C7" i="2"/>
  <c r="C8" i="2" s="1"/>
  <c r="C9" i="2" s="1"/>
  <c r="C10" i="2" s="1"/>
  <c r="K1" i="2"/>
  <c r="K11" i="2"/>
  <c r="K12" i="2"/>
  <c r="P9" i="3"/>
  <c r="N9" i="3"/>
  <c r="L9" i="3"/>
  <c r="J9" i="3"/>
  <c r="H9" i="3"/>
  <c r="F9" i="3"/>
  <c r="D9" i="3"/>
  <c r="A13" i="2"/>
  <c r="C22" i="3"/>
  <c r="C14" i="3" s="1"/>
  <c r="E14" i="3" s="1"/>
  <c r="G14" i="3" s="1"/>
  <c r="I14" i="3" s="1"/>
  <c r="K14" i="3" s="1"/>
  <c r="M14" i="3" s="1"/>
  <c r="O14" i="3" s="1"/>
  <c r="K2" i="2"/>
  <c r="A18" i="2"/>
  <c r="A14" i="2"/>
  <c r="D11" i="4"/>
  <c r="B22" i="3"/>
  <c r="B13" i="3"/>
  <c r="B14" i="3"/>
  <c r="C32" i="3"/>
  <c r="I32" i="3"/>
  <c r="O30" i="3"/>
  <c r="P29" i="3"/>
  <c r="O29" i="3"/>
  <c r="N30" i="3"/>
  <c r="M30" i="3"/>
  <c r="N29" i="3"/>
  <c r="M29" i="3"/>
  <c r="L30" i="3"/>
  <c r="K30" i="3"/>
  <c r="L29" i="3"/>
  <c r="K29" i="3"/>
  <c r="J30" i="3"/>
  <c r="I30" i="3"/>
  <c r="J29" i="3"/>
  <c r="I29" i="3"/>
  <c r="H30" i="3"/>
  <c r="G30" i="3"/>
  <c r="H29" i="3"/>
  <c r="G29" i="3"/>
  <c r="F30" i="3"/>
  <c r="E30" i="3"/>
  <c r="F29" i="3"/>
  <c r="E29" i="3"/>
  <c r="D30" i="3"/>
  <c r="C30" i="3"/>
  <c r="D29" i="3"/>
  <c r="C29" i="3"/>
  <c r="G24" i="10" l="1"/>
  <c r="H14" i="11" s="1"/>
  <c r="G14" i="10"/>
  <c r="I14" i="10" s="1"/>
  <c r="G25" i="10"/>
  <c r="I14" i="11" s="1"/>
  <c r="I24" i="8"/>
  <c r="K24" i="8" s="1"/>
  <c r="I25" i="8"/>
  <c r="I15" i="9" s="1"/>
  <c r="G14" i="8"/>
  <c r="F13" i="9"/>
  <c r="P11" i="3"/>
  <c r="N7" i="3"/>
  <c r="F11" i="3"/>
  <c r="P4" i="3"/>
  <c r="F8" i="3"/>
  <c r="L12" i="3"/>
  <c r="J8" i="3"/>
  <c r="F12" i="3"/>
  <c r="N6" i="3"/>
  <c r="P8" i="3"/>
  <c r="L11" i="3"/>
  <c r="J7" i="3"/>
  <c r="D11" i="3"/>
  <c r="N5" i="3"/>
  <c r="D7" i="3"/>
  <c r="N8" i="3"/>
  <c r="P5" i="3"/>
  <c r="P7" i="3"/>
  <c r="H12" i="3"/>
  <c r="D12" i="3"/>
  <c r="N4" i="3"/>
  <c r="D8" i="3"/>
  <c r="N12" i="3"/>
  <c r="L8" i="3"/>
  <c r="H11" i="3"/>
  <c r="L6" i="3"/>
  <c r="N11" i="3"/>
  <c r="L7" i="3"/>
  <c r="L5" i="3"/>
  <c r="P12" i="3"/>
  <c r="F7" i="3"/>
  <c r="J12" i="3"/>
  <c r="H8" i="3"/>
  <c r="P6" i="3"/>
  <c r="L4" i="3"/>
  <c r="J11" i="3"/>
  <c r="H7" i="3"/>
  <c r="N16" i="2"/>
  <c r="E22" i="3"/>
  <c r="G22" i="3" s="1"/>
  <c r="I22" i="3" s="1"/>
  <c r="K22" i="3" s="1"/>
  <c r="M22" i="3" s="1"/>
  <c r="O22" i="3" s="1"/>
  <c r="M32" i="3"/>
  <c r="I24" i="10" l="1"/>
  <c r="H15" i="11" s="1"/>
  <c r="I25" i="10"/>
  <c r="K25" i="10" s="1"/>
  <c r="F14" i="11"/>
  <c r="F15" i="11"/>
  <c r="K14" i="10"/>
  <c r="K24" i="10"/>
  <c r="H15" i="9"/>
  <c r="K25" i="8"/>
  <c r="I16" i="9" s="1"/>
  <c r="F14" i="9"/>
  <c r="I14" i="8"/>
  <c r="H16" i="9"/>
  <c r="M24" i="8"/>
  <c r="C24" i="3"/>
  <c r="E24" i="3" s="1"/>
  <c r="G24" i="3" s="1"/>
  <c r="I24" i="3" s="1"/>
  <c r="K24" i="3" s="1"/>
  <c r="M24" i="3" s="1"/>
  <c r="O24" i="3" s="1"/>
  <c r="G11" i="4"/>
  <c r="I11" i="4"/>
  <c r="H11" i="4"/>
  <c r="G4" i="4"/>
  <c r="D4" i="4"/>
  <c r="E18" i="4"/>
  <c r="E17" i="4"/>
  <c r="E16" i="4"/>
  <c r="E15" i="4"/>
  <c r="E14" i="4"/>
  <c r="E13" i="4"/>
  <c r="E12" i="4"/>
  <c r="B25" i="3"/>
  <c r="B24" i="3"/>
  <c r="F11" i="4"/>
  <c r="E11" i="4"/>
  <c r="P17" i="3"/>
  <c r="N17" i="3"/>
  <c r="L17" i="3"/>
  <c r="J17" i="3"/>
  <c r="H17" i="3"/>
  <c r="F17" i="3"/>
  <c r="D17" i="3"/>
  <c r="J6" i="3"/>
  <c r="H6" i="3"/>
  <c r="F6" i="3"/>
  <c r="D6" i="3"/>
  <c r="J5" i="3"/>
  <c r="H5" i="3"/>
  <c r="F5" i="3"/>
  <c r="D5" i="3"/>
  <c r="J4" i="3"/>
  <c r="H4" i="3"/>
  <c r="F4" i="3"/>
  <c r="D4" i="3"/>
  <c r="O3" i="3"/>
  <c r="M3" i="3"/>
  <c r="K3" i="3"/>
  <c r="I3" i="3"/>
  <c r="G3" i="3"/>
  <c r="E3" i="3"/>
  <c r="C3" i="3"/>
  <c r="C25" i="2"/>
  <c r="D25" i="2" s="1"/>
  <c r="C24" i="2"/>
  <c r="D24" i="2" s="1"/>
  <c r="C23" i="2"/>
  <c r="D23" i="2" s="1"/>
  <c r="I15" i="11" l="1"/>
  <c r="I16" i="11"/>
  <c r="M25" i="10"/>
  <c r="O25" i="10" s="1"/>
  <c r="M24" i="10"/>
  <c r="H16" i="11"/>
  <c r="M14" i="10"/>
  <c r="F16" i="11"/>
  <c r="M25" i="8"/>
  <c r="O25" i="8" s="1"/>
  <c r="O24" i="8"/>
  <c r="H17" i="9"/>
  <c r="F15" i="9"/>
  <c r="K14" i="8"/>
  <c r="H12" i="4"/>
  <c r="D22" i="3"/>
  <c r="C26" i="2"/>
  <c r="F17" i="11" l="1"/>
  <c r="O14" i="10"/>
  <c r="F18" i="11" s="1"/>
  <c r="I17" i="11"/>
  <c r="O24" i="10"/>
  <c r="H17" i="11"/>
  <c r="I17" i="9"/>
  <c r="I18" i="9"/>
  <c r="G6" i="9"/>
  <c r="C33" i="8"/>
  <c r="M14" i="8"/>
  <c r="F16" i="9"/>
  <c r="H18" i="9"/>
  <c r="D6" i="9"/>
  <c r="D26" i="2"/>
  <c r="E25" i="3"/>
  <c r="G25" i="3" s="1"/>
  <c r="I25" i="3" s="1"/>
  <c r="K25" i="3" s="1"/>
  <c r="M25" i="3" s="1"/>
  <c r="O25" i="3" s="1"/>
  <c r="H13" i="4"/>
  <c r="H15" i="10" l="1"/>
  <c r="H20" i="10" s="1"/>
  <c r="F15" i="10"/>
  <c r="F20" i="10" s="1"/>
  <c r="P15" i="10"/>
  <c r="P20" i="10" s="1"/>
  <c r="N15" i="10"/>
  <c r="N20" i="10" s="1"/>
  <c r="D15" i="10"/>
  <c r="D20" i="10" s="1"/>
  <c r="L15" i="10"/>
  <c r="L20" i="10" s="1"/>
  <c r="J15" i="10"/>
  <c r="J20" i="10" s="1"/>
  <c r="H18" i="11"/>
  <c r="D6" i="11"/>
  <c r="C33" i="10"/>
  <c r="I18" i="11"/>
  <c r="G6" i="11"/>
  <c r="J15" i="8"/>
  <c r="J20" i="8" s="1"/>
  <c r="L15" i="8"/>
  <c r="L20" i="8" s="1"/>
  <c r="H15" i="8"/>
  <c r="H20" i="8" s="1"/>
  <c r="F15" i="8"/>
  <c r="F20" i="8" s="1"/>
  <c r="D15" i="8"/>
  <c r="D20" i="8" s="1"/>
  <c r="P15" i="8"/>
  <c r="P20" i="8" s="1"/>
  <c r="N15" i="8"/>
  <c r="N20" i="8" s="1"/>
  <c r="F17" i="9"/>
  <c r="O14" i="8"/>
  <c r="F18" i="9" s="1"/>
  <c r="L15" i="3"/>
  <c r="J15" i="3"/>
  <c r="H15" i="3"/>
  <c r="F15" i="3"/>
  <c r="D15" i="3"/>
  <c r="P15" i="3"/>
  <c r="N15" i="3"/>
  <c r="I12" i="4"/>
  <c r="I13" i="4"/>
  <c r="H14" i="4"/>
  <c r="F21" i="10" l="1"/>
  <c r="E21" i="10"/>
  <c r="E20" i="10"/>
  <c r="D13" i="11" s="1"/>
  <c r="G20" i="10"/>
  <c r="D14" i="11" s="1"/>
  <c r="H21" i="10"/>
  <c r="G21" i="10"/>
  <c r="I21" i="10"/>
  <c r="J21" i="10"/>
  <c r="I20" i="10"/>
  <c r="D15" i="11" s="1"/>
  <c r="K20" i="10"/>
  <c r="D16" i="11" s="1"/>
  <c r="L21" i="10"/>
  <c r="K21" i="10"/>
  <c r="C20" i="10"/>
  <c r="D12" i="11" s="1"/>
  <c r="C23" i="10"/>
  <c r="E23" i="10" s="1"/>
  <c r="D21" i="10"/>
  <c r="C21" i="10"/>
  <c r="M20" i="10"/>
  <c r="D17" i="11" s="1"/>
  <c r="N21" i="10"/>
  <c r="M21" i="10"/>
  <c r="O20" i="10"/>
  <c r="D18" i="11" s="1"/>
  <c r="P21" i="10"/>
  <c r="O21" i="10"/>
  <c r="M20" i="8"/>
  <c r="D17" i="9" s="1"/>
  <c r="M21" i="8"/>
  <c r="N21" i="8"/>
  <c r="O20" i="8"/>
  <c r="D18" i="9" s="1"/>
  <c r="P21" i="8"/>
  <c r="O21" i="8"/>
  <c r="C23" i="8"/>
  <c r="C20" i="8"/>
  <c r="D12" i="9" s="1"/>
  <c r="C21" i="8"/>
  <c r="D21" i="8"/>
  <c r="J21" i="8"/>
  <c r="I21" i="8"/>
  <c r="I20" i="8"/>
  <c r="D15" i="9" s="1"/>
  <c r="E21" i="8"/>
  <c r="E20" i="8"/>
  <c r="D13" i="9" s="1"/>
  <c r="F21" i="8"/>
  <c r="G20" i="8"/>
  <c r="D14" i="9" s="1"/>
  <c r="H21" i="8"/>
  <c r="G21" i="8"/>
  <c r="K21" i="8"/>
  <c r="K20" i="8"/>
  <c r="D16" i="9" s="1"/>
  <c r="L21" i="8"/>
  <c r="I14" i="4"/>
  <c r="H15" i="4"/>
  <c r="E16" i="10" l="1"/>
  <c r="G13" i="11" s="1"/>
  <c r="F23" i="10"/>
  <c r="G23" i="10"/>
  <c r="C16" i="10"/>
  <c r="G12" i="11" s="1"/>
  <c r="D23" i="10"/>
  <c r="D23" i="8"/>
  <c r="C16" i="8"/>
  <c r="G12" i="9" s="1"/>
  <c r="E23" i="8"/>
  <c r="I15" i="4"/>
  <c r="H16" i="4"/>
  <c r="G16" i="10" l="1"/>
  <c r="G14" i="11" s="1"/>
  <c r="H23" i="10"/>
  <c r="I23" i="10"/>
  <c r="F23" i="8"/>
  <c r="E16" i="8"/>
  <c r="G13" i="9" s="1"/>
  <c r="G23" i="8"/>
  <c r="I16" i="4"/>
  <c r="J23" i="10" l="1"/>
  <c r="I16" i="10"/>
  <c r="G15" i="11" s="1"/>
  <c r="K23" i="10"/>
  <c r="G16" i="8"/>
  <c r="G14" i="9" s="1"/>
  <c r="H23" i="8"/>
  <c r="I23" i="8"/>
  <c r="H17" i="4"/>
  <c r="I17" i="4"/>
  <c r="K16" i="10" l="1"/>
  <c r="G16" i="11" s="1"/>
  <c r="L23" i="10"/>
  <c r="M23" i="10"/>
  <c r="M16" i="10" s="1"/>
  <c r="J23" i="8"/>
  <c r="I16" i="8"/>
  <c r="G15" i="9" s="1"/>
  <c r="K23" i="8"/>
  <c r="D6" i="4"/>
  <c r="H18" i="4"/>
  <c r="I18" i="4"/>
  <c r="N23" i="10" l="1"/>
  <c r="G17" i="11"/>
  <c r="O23" i="10"/>
  <c r="O16" i="10" s="1"/>
  <c r="K16" i="8"/>
  <c r="G16" i="9" s="1"/>
  <c r="L23" i="8"/>
  <c r="M23" i="8"/>
  <c r="G6" i="4"/>
  <c r="C33" i="3"/>
  <c r="P23" i="10" l="1"/>
  <c r="G18" i="11"/>
  <c r="M16" i="8"/>
  <c r="G17" i="9" s="1"/>
  <c r="N23" i="8"/>
  <c r="O23" i="8"/>
  <c r="F12" i="4"/>
  <c r="F13" i="4"/>
  <c r="F14" i="4"/>
  <c r="F15" i="4"/>
  <c r="F16" i="4"/>
  <c r="F17" i="4"/>
  <c r="F18" i="4"/>
  <c r="P23" i="8" l="1"/>
  <c r="O16" i="8"/>
  <c r="G18" i="9" s="1"/>
  <c r="F20" i="3"/>
  <c r="H20" i="3"/>
  <c r="D20" i="3"/>
  <c r="P20" i="3"/>
  <c r="N20" i="3"/>
  <c r="L20" i="3"/>
  <c r="J20" i="3"/>
  <c r="I20" i="3" l="1"/>
  <c r="D15" i="4" s="1"/>
  <c r="J21" i="3"/>
  <c r="I21" i="3"/>
  <c r="D21" i="3"/>
  <c r="C20" i="3"/>
  <c r="D12" i="4" s="1"/>
  <c r="C21" i="3"/>
  <c r="C23" i="3"/>
  <c r="M20" i="3"/>
  <c r="D17" i="4" s="1"/>
  <c r="M21" i="3"/>
  <c r="N21" i="3"/>
  <c r="G20" i="3"/>
  <c r="D14" i="4" s="1"/>
  <c r="H21" i="3"/>
  <c r="G21" i="3"/>
  <c r="K21" i="3"/>
  <c r="K20" i="3"/>
  <c r="D16" i="4" s="1"/>
  <c r="L21" i="3"/>
  <c r="P21" i="3"/>
  <c r="O21" i="3"/>
  <c r="O20" i="3"/>
  <c r="D18" i="4" s="1"/>
  <c r="E21" i="3"/>
  <c r="F21" i="3"/>
  <c r="E20" i="3"/>
  <c r="D13" i="4" s="1"/>
  <c r="D23" i="3" l="1"/>
  <c r="C16" i="3"/>
  <c r="G12" i="4" s="1"/>
  <c r="E23" i="3"/>
  <c r="E16" i="3" l="1"/>
  <c r="G13" i="4" s="1"/>
  <c r="F23" i="3"/>
  <c r="G23" i="3"/>
  <c r="G16" i="3" l="1"/>
  <c r="G14" i="4" s="1"/>
  <c r="H23" i="3"/>
  <c r="I23" i="3"/>
  <c r="I16" i="3" l="1"/>
  <c r="G15" i="4" s="1"/>
  <c r="J23" i="3"/>
  <c r="K23" i="3"/>
  <c r="K16" i="3" l="1"/>
  <c r="G16" i="4" s="1"/>
  <c r="L23" i="3"/>
  <c r="M23" i="3"/>
  <c r="M16" i="3" l="1"/>
  <c r="G17" i="4" s="1"/>
  <c r="N23" i="3"/>
  <c r="O23" i="3"/>
  <c r="O16" i="3" l="1"/>
  <c r="G18" i="4" s="1"/>
  <c r="P23" i="3"/>
</calcChain>
</file>

<file path=xl/sharedStrings.xml><?xml version="1.0" encoding="utf-8"?>
<sst xmlns="http://schemas.openxmlformats.org/spreadsheetml/2006/main" count="294" uniqueCount="160">
  <si>
    <t>翡翠</t>
  </si>
  <si>
    <t>合计</t>
  </si>
  <si>
    <t>抽奖道具</t>
  </si>
  <si>
    <t>普通兑换道具</t>
  </si>
  <si>
    <t>数量</t>
  </si>
  <si>
    <t>概率</t>
  </si>
  <si>
    <t>积分</t>
  </si>
  <si>
    <t>高级兑换道具</t>
  </si>
  <si>
    <t>档位</t>
  </si>
  <si>
    <t>累积积分</t>
  </si>
  <si>
    <t>累积随机箱</t>
  </si>
  <si>
    <t>第1档</t>
  </si>
  <si>
    <t>第2档</t>
  </si>
  <si>
    <t>第3档</t>
  </si>
  <si>
    <t>第4档</t>
  </si>
  <si>
    <t>第5档</t>
  </si>
  <si>
    <t>积分规则</t>
  </si>
  <si>
    <t>钻石购买</t>
  </si>
  <si>
    <t>钻石</t>
  </si>
  <si>
    <t>限购=</t>
  </si>
  <si>
    <t>个/天</t>
  </si>
  <si>
    <t>随机箱</t>
  </si>
  <si>
    <t>平均(个)</t>
  </si>
  <si>
    <t>积分（分）</t>
  </si>
  <si>
    <t>价格（RMB）</t>
  </si>
  <si>
    <t>第1天</t>
  </si>
  <si>
    <t>第2天</t>
  </si>
  <si>
    <t>第3天</t>
  </si>
  <si>
    <t>第4天</t>
  </si>
  <si>
    <t>第5天</t>
  </si>
  <si>
    <t>第6天</t>
  </si>
  <si>
    <t>第7天</t>
  </si>
  <si>
    <t>每日任务</t>
  </si>
  <si>
    <t>使用随机箱</t>
  </si>
  <si>
    <t>剩余随机箱</t>
  </si>
  <si>
    <t>天数</t>
  </si>
  <si>
    <t>Day1</t>
    <phoneticPr fontId="24" type="noConversion"/>
  </si>
  <si>
    <t>Day2</t>
    <phoneticPr fontId="24" type="noConversion"/>
  </si>
  <si>
    <t>Day3</t>
    <phoneticPr fontId="24" type="noConversion"/>
  </si>
  <si>
    <t>Day4</t>
    <phoneticPr fontId="24" type="noConversion"/>
  </si>
  <si>
    <t>Day5</t>
    <phoneticPr fontId="24" type="noConversion"/>
  </si>
  <si>
    <t>Day6</t>
    <phoneticPr fontId="24" type="noConversion"/>
  </si>
  <si>
    <t>Day7</t>
    <phoneticPr fontId="24" type="noConversion"/>
  </si>
  <si>
    <t>风险提示</t>
    <phoneticPr fontId="24" type="noConversion"/>
  </si>
  <si>
    <t>今天只做这些</t>
    <phoneticPr fontId="24" type="noConversion"/>
  </si>
  <si>
    <t>预算</t>
    <phoneticPr fontId="24" type="noConversion"/>
  </si>
  <si>
    <t>总体策略</t>
    <phoneticPr fontId="24" type="noConversion"/>
  </si>
  <si>
    <t>收尾日</t>
    <phoneticPr fontId="24" type="noConversion"/>
  </si>
  <si>
    <t>氪金RMB</t>
    <phoneticPr fontId="24" type="noConversion"/>
  </si>
  <si>
    <t>氪金翡翠</t>
    <phoneticPr fontId="24" type="noConversion"/>
  </si>
  <si>
    <t>商店兑换</t>
    <phoneticPr fontId="24" type="noConversion"/>
  </si>
  <si>
    <t>免费基金</t>
    <phoneticPr fontId="24" type="noConversion"/>
  </si>
  <si>
    <t>活动签到</t>
    <phoneticPr fontId="24" type="noConversion"/>
  </si>
  <si>
    <t>氪金礼包</t>
    <phoneticPr fontId="24" type="noConversion"/>
  </si>
  <si>
    <t>氪金基金</t>
    <phoneticPr fontId="24" type="noConversion"/>
  </si>
  <si>
    <t>首次登录</t>
    <phoneticPr fontId="24" type="noConversion"/>
  </si>
  <si>
    <t>？</t>
    <phoneticPr fontId="24" type="noConversion"/>
  </si>
  <si>
    <t>总随机箱</t>
    <phoneticPr fontId="24" type="noConversion"/>
  </si>
  <si>
    <t>目标档位</t>
    <phoneticPr fontId="24" type="noConversion"/>
  </si>
  <si>
    <t>积分概率计算</t>
    <phoneticPr fontId="24" type="noConversion"/>
  </si>
  <si>
    <t>数量</t>
    <phoneticPr fontId="30" type="noConversion"/>
  </si>
  <si>
    <t>概率</t>
    <phoneticPr fontId="30" type="noConversion"/>
  </si>
  <si>
    <t>合计</t>
    <phoneticPr fontId="30" type="noConversion"/>
  </si>
  <si>
    <t>下一档位</t>
    <phoneticPr fontId="24" type="noConversion"/>
  </si>
  <si>
    <t>广告观看</t>
    <phoneticPr fontId="24" type="noConversion"/>
  </si>
  <si>
    <t>制作券</t>
    <phoneticPr fontId="24" type="noConversion"/>
  </si>
  <si>
    <t>普通卷轴</t>
    <phoneticPr fontId="24" type="noConversion"/>
  </si>
  <si>
    <t>高级卷轴</t>
    <phoneticPr fontId="24" type="noConversion"/>
  </si>
  <si>
    <t>哥布林弹珠｜5万钻攻略</t>
    <phoneticPr fontId="24" type="noConversion"/>
  </si>
  <si>
    <t>高级卷轴×1800</t>
  </si>
  <si>
    <t>超越万能神器核心碎片×30</t>
  </si>
  <si>
    <t>高级卷轴×900</t>
  </si>
  <si>
    <t>高级卷轴×1300</t>
  </si>
  <si>
    <t>觉醒核心自选箱×1</t>
  </si>
  <si>
    <t>高级卷轴×240</t>
  </si>
  <si>
    <t>橙秘宝自选箱×1</t>
  </si>
  <si>
    <t>限定藏品自选箱×1</t>
  </si>
  <si>
    <t>高级卷轴×530</t>
  </si>
  <si>
    <t>限定烙印自选箱×1</t>
  </si>
  <si>
    <t>高级卷轴×460</t>
  </si>
  <si>
    <t>S武器自选箱×1</t>
  </si>
  <si>
    <t>高级卷轴×420</t>
  </si>
  <si>
    <t>S史诗传承自选箱×1</t>
  </si>
  <si>
    <t>高级卷轴×250</t>
  </si>
  <si>
    <t>连携祝福卷轴×1</t>
  </si>
  <si>
    <t>高级卷轴×160</t>
  </si>
  <si>
    <t>置换符×1</t>
  </si>
  <si>
    <t>高级卷轴×30</t>
  </si>
  <si>
    <t>随机传说宝石箱×1</t>
  </si>
  <si>
    <t>高级卷轴×6</t>
  </si>
  <si>
    <t>天外陨铁×10</t>
  </si>
  <si>
    <t>普通卷轴×6700</t>
  </si>
  <si>
    <t>普通卷轴×6500</t>
  </si>
  <si>
    <t>SS限定烙印自选箱×1</t>
  </si>
  <si>
    <t>普通卷轴×4500</t>
  </si>
  <si>
    <t>史诗坐骑核心自选箱×1</t>
  </si>
  <si>
    <t>普通卷轴×3250</t>
  </si>
  <si>
    <t>随机英杰箱×1</t>
  </si>
  <si>
    <t>普通卷轴×3000</t>
  </si>
  <si>
    <t>稀有坐骑核心自选箱×1</t>
  </si>
  <si>
    <t>普通卷轴×2500</t>
  </si>
  <si>
    <t>臻选皮肤自选箱×1</t>
  </si>
  <si>
    <t>普通卷轴×2250</t>
  </si>
  <si>
    <t>优秀坐骑核心自选箱×1</t>
  </si>
  <si>
    <t>史诗传承自选箱×1</t>
  </si>
  <si>
    <t>普通卷轴×1750</t>
  </si>
  <si>
    <t>幸运银币×3</t>
  </si>
  <si>
    <t>普通卷轴×1200</t>
  </si>
  <si>
    <t>传承书自选箱×1</t>
  </si>
  <si>
    <t>普通卷轴×1000</t>
  </si>
  <si>
    <t>天外陨铁×100</t>
  </si>
  <si>
    <t>普通卷轴×900</t>
  </si>
  <si>
    <t>随机烙印箱×1</t>
  </si>
  <si>
    <t>装备图纸×20</t>
  </si>
  <si>
    <t>普通卷轴×600</t>
  </si>
  <si>
    <t>宠物蛋×100</t>
  </si>
  <si>
    <t>普通卷轴×350</t>
  </si>
  <si>
    <t>家园币×50</t>
  </si>
  <si>
    <t>普通卷轴×300</t>
  </si>
  <si>
    <t>祈愿函×5</t>
  </si>
  <si>
    <t>传说钥匙×5</t>
  </si>
  <si>
    <t>宝石钥匙×5</t>
  </si>
  <si>
    <t>秘宝钥匙×5</t>
  </si>
  <si>
    <t>普通卷轴×240</t>
  </si>
  <si>
    <t>高级卷轴×10</t>
  </si>
  <si>
    <t>普通卷轴×225</t>
  </si>
  <si>
    <t>不变石×1</t>
  </si>
  <si>
    <t>普通卷轴×150</t>
  </si>
  <si>
    <t>英杰契约×1</t>
  </si>
  <si>
    <t>普通卷轴×125</t>
  </si>
  <si>
    <t>金蹄铁×50</t>
  </si>
  <si>
    <t>神威锤×50</t>
  </si>
  <si>
    <t>消耗内容</t>
  </si>
  <si>
    <t>获得内容</t>
  </si>
  <si>
    <t>限购次数</t>
  </si>
  <si>
    <t>高级兑换</t>
    <phoneticPr fontId="24" type="noConversion"/>
  </si>
  <si>
    <t>普通兑换</t>
    <phoneticPr fontId="24" type="noConversion"/>
  </si>
  <si>
    <t>① 登录5券+任务125券
② 钻石购买120券
③ 今日不用券可拿第2档奖励</t>
    <phoneticPr fontId="24" type="noConversion"/>
  </si>
  <si>
    <t>万能英杰碎片×120</t>
    <phoneticPr fontId="24" type="noConversion"/>
  </si>
  <si>
    <t>① 任务125券+钻石购买120券
② 今日用约167券,拿第2档奖励</t>
    <phoneticPr fontId="24" type="noConversion"/>
  </si>
  <si>
    <r>
      <t xml:space="preserve">可兑换： </t>
    </r>
    <r>
      <rPr>
        <b/>
        <sz val="12"/>
        <color rgb="FFFF0000"/>
        <rFont val="微软雅黑"/>
        <family val="2"/>
        <charset val="134"/>
      </rPr>
      <t>觉醒核心自选箱×2 + SS限定烙印自选箱×1 + 万能英杰碎片×120</t>
    </r>
    <phoneticPr fontId="24" type="noConversion"/>
  </si>
  <si>
    <t xml:space="preserve"> 注意普通商店只兑换约20个高级卷轴，保证拿到900高级卷轴即可。需19900普通卷轴才能兑换2觉醒箱+1SS烙印箱
 此活动概率较为稳定，最后一天积分约为4350，高出第3档550分。放心大胆冲</t>
    <phoneticPr fontId="24" type="noConversion"/>
  </si>
  <si>
    <t>① 任务125券+钻石购买120券
② 用掉全部券后领取基金125券
③ 继续用掉全部券+随机箱拿第3档奖励
④ 商店只兑换20高级卷轴</t>
    <phoneticPr fontId="24" type="noConversion"/>
  </si>
  <si>
    <t>S装备自选箱×1</t>
    <phoneticPr fontId="24" type="noConversion"/>
  </si>
  <si>
    <t>① 任务125券
② 攒券不用</t>
    <phoneticPr fontId="24" type="noConversion"/>
  </si>
  <si>
    <t>① 任务125券+钻石购买90券
② 用掉全部券后领取基金125券
③ 继续用掉全部券+随机箱拿第3档奖励</t>
    <phoneticPr fontId="24" type="noConversion"/>
  </si>
  <si>
    <t xml:space="preserve"> 如果纯白嫖，0钻+免费基金也能获得约286高级卷轴+11221普通卷轴
最后1天只买90券理论上即可拿第3档奖励
如果想换更多东西，可按需购买制作券。每1张券可获得约11.75普通卷轴和0.3高级卷轴</t>
    <phoneticPr fontId="24" type="noConversion"/>
  </si>
  <si>
    <t>45随机箱</t>
    <phoneticPr fontId="24" type="noConversion"/>
  </si>
  <si>
    <t>始祖之怒×1</t>
    <phoneticPr fontId="24" type="noConversion"/>
  </si>
  <si>
    <t>哥布林弹珠｜4500翡翠氪金攻略</t>
    <phoneticPr fontId="24" type="noConversion"/>
  </si>
  <si>
    <t>① 任务125券+钻石买120券
② 制作券礼包Ⅰ+制作券礼包Ⅱ(1500翡翠)
③ 用约334券拿第3档奖励</t>
    <phoneticPr fontId="24" type="noConversion"/>
  </si>
  <si>
    <t>① 登录5券+任务125券+钻石买120券
② 制作券礼包Ⅰ+制作券礼包Ⅱ(1500翡翠)
③ 用约167券拿第3档奖励</t>
    <phoneticPr fontId="24" type="noConversion"/>
  </si>
  <si>
    <t>① 任务125券+钻石买120券
② 用约167券,拿第2档奖励</t>
    <phoneticPr fontId="24" type="noConversion"/>
  </si>
  <si>
    <t>① 任务125券+钻石买120券
② 用约334券(已累计1336抽)
③ 领基金125券拿第3档奖励</t>
    <phoneticPr fontId="24" type="noConversion"/>
  </si>
  <si>
    <t>① 任务125券+钻石买120券
② 用掉约759券，商店兑换100高级卷轴
③ 氪金基金领45随机箱，开共99随机箱
④ 以第3档为目标，视情况补氪制作券礼包Ⅰ</t>
    <phoneticPr fontId="24" type="noConversion"/>
  </si>
  <si>
    <t>氪金日</t>
    <phoneticPr fontId="24" type="noConversion"/>
  </si>
  <si>
    <t xml:space="preserve"> 七天内目标档位分别为3、3、2、2、2、3、3。只氪制作券礼包Ⅰ和Ⅱ
最后1天如果不氪礼包，理论上积分为3791，很接近第三档(3800)，运气好则无需氪金</t>
    <phoneticPr fontId="24" type="noConversion"/>
  </si>
  <si>
    <r>
      <t xml:space="preserve">可兑换： 始祖之怒×1 或 超越万能神器核心碎片×30+ </t>
    </r>
    <r>
      <rPr>
        <b/>
        <sz val="12"/>
        <color rgb="FFFF0000"/>
        <rFont val="微软雅黑"/>
        <family val="2"/>
        <charset val="134"/>
      </rPr>
      <t xml:space="preserve">觉醒核心自选箱×2 + SS限定烙印自选箱×1 </t>
    </r>
    <phoneticPr fontId="24" type="noConversion"/>
  </si>
  <si>
    <r>
      <t xml:space="preserve">可兑换： </t>
    </r>
    <r>
      <rPr>
        <b/>
        <sz val="12"/>
        <color rgb="FFFF0000"/>
        <rFont val="微软雅黑"/>
        <family val="2"/>
        <charset val="134"/>
      </rPr>
      <t>觉醒核心自选箱×1 + SS限定烙印自选箱×1 + S装备自选箱×1 或 S武器自选箱×1</t>
    </r>
    <phoneticPr fontId="24" type="noConversion"/>
  </si>
  <si>
    <t>哥布林弹珠｜1.3万钻攻略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</si>
</sst>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000"/>
    <numFmt numFmtId="178" formatCode="0.0"/>
  </numFmts>
  <fonts count="31">
    <font>
      <sz val="11"/>
      <color theme="1"/>
      <name val="等线"/>
    </font>
    <font>
      <sz val="11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6"/>
      <color theme="1"/>
      <name val="微软雅黑"/>
      <family val="2"/>
      <charset val="134"/>
    </font>
    <font>
      <sz val="20"/>
      <color theme="0"/>
      <name val="微软雅黑"/>
      <family val="2"/>
      <charset val="134"/>
    </font>
    <font>
      <sz val="11"/>
      <color theme="1"/>
      <name val="等线"/>
      <family val="3"/>
      <charset val="134"/>
    </font>
    <font>
      <sz val="12"/>
      <color theme="0"/>
      <name val="微软雅黑"/>
      <family val="2"/>
      <charset val="134"/>
    </font>
    <font>
      <sz val="11"/>
      <name val="Carlito"/>
    </font>
    <font>
      <sz val="11"/>
      <name val="微软雅黑"/>
      <family val="2"/>
      <charset val="134"/>
    </font>
    <font>
      <b/>
      <sz val="16"/>
      <color rgb="FFC65911"/>
      <name val="微软雅黑"/>
      <family val="2"/>
      <charset val="134"/>
    </font>
    <font>
      <b/>
      <sz val="16"/>
      <color rgb="FF17365D"/>
      <name val="微软雅黑"/>
      <family val="2"/>
      <charset val="134"/>
    </font>
    <font>
      <b/>
      <sz val="16"/>
      <color rgb="FF375623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0"/>
      <color rgb="FF375623"/>
      <name val="微软雅黑"/>
      <family val="2"/>
      <charset val="134"/>
    </font>
    <font>
      <b/>
      <sz val="16"/>
      <color rgb="FF7030A0"/>
      <name val="微软雅黑"/>
      <family val="2"/>
      <charset val="134"/>
    </font>
    <font>
      <b/>
      <sz val="14"/>
      <color rgb="FF7030A0"/>
      <name val="微软雅黑"/>
      <family val="2"/>
      <charset val="134"/>
    </font>
    <font>
      <b/>
      <sz val="19"/>
      <color rgb="FFFFFFFF"/>
      <name val="微软雅黑"/>
      <family val="2"/>
      <charset val="134"/>
    </font>
    <font>
      <b/>
      <sz val="14"/>
      <color rgb="FF375623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9"/>
      <color rgb="FF29415C"/>
      <name val="微软雅黑"/>
      <family val="2"/>
      <charset val="134"/>
    </font>
    <font>
      <b/>
      <sz val="11"/>
      <color rgb="FF9C5700"/>
      <name val="微软雅黑"/>
      <family val="2"/>
      <charset val="134"/>
    </font>
    <font>
      <b/>
      <sz val="14"/>
      <color rgb="FF9C5700"/>
      <name val="微软雅黑"/>
      <family val="2"/>
      <charset val="134"/>
    </font>
    <font>
      <b/>
      <sz val="9"/>
      <color rgb="FF9C5700"/>
      <name val="微软雅黑"/>
      <family val="2"/>
      <charset val="134"/>
    </font>
    <font>
      <sz val="9"/>
      <name val="宋体"/>
      <family val="3"/>
      <charset val="134"/>
    </font>
    <font>
      <b/>
      <sz val="12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20"/>
      <color rgb="FFFFFFFF"/>
      <name val="微软雅黑"/>
      <family val="2"/>
      <charset val="134"/>
    </font>
    <font>
      <sz val="11"/>
      <color rgb="FF9C0006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Calibri"/>
      <family val="3"/>
      <charset val="134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9" tint="0.59996337778862885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00B050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7030A0"/>
      </patternFill>
    </fill>
    <fill>
      <patternFill patternType="solid">
        <fgColor theme="0"/>
      </patternFill>
    </fill>
    <fill>
      <patternFill patternType="solid">
        <fgColor rgb="FFC00000"/>
      </patternFill>
    </fill>
    <fill>
      <patternFill patternType="solid">
        <fgColor theme="5" tint="0.59996337778862885"/>
        <bgColor indexed="65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theme="4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D88A20"/>
      </patternFill>
    </fill>
    <fill>
      <patternFill patternType="solid">
        <fgColor rgb="FFFFF2CC"/>
      </patternFill>
    </fill>
    <fill>
      <patternFill patternType="solid">
        <fgColor rgb="FF9C5700"/>
      </patternFill>
    </fill>
    <fill>
      <patternFill patternType="solid">
        <fgColor rgb="FFFFF8E7"/>
      </patternFill>
    </fill>
    <fill>
      <patternFill patternType="solid">
        <fgColor rgb="FFF8CBAD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1B2E8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n">
        <color rgb="FFD9D9D9"/>
      </bottom>
      <diagonal/>
    </border>
    <border>
      <left style="thick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thick">
        <color rgb="FF000000"/>
      </right>
      <top/>
      <bottom style="thin">
        <color rgb="FFD9D9D9"/>
      </bottom>
      <diagonal/>
    </border>
    <border>
      <left/>
      <right style="thick">
        <color rgb="FF000000"/>
      </right>
      <top style="thin">
        <color rgb="FFD9D9D9"/>
      </top>
      <bottom style="thin">
        <color rgb="FFD9D9D9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n">
        <color rgb="FFD9D9D9"/>
      </top>
      <bottom style="thick">
        <color rgb="FF000000"/>
      </bottom>
      <diagonal/>
    </border>
    <border>
      <left/>
      <right/>
      <top style="thin">
        <color rgb="FFD9D9D9"/>
      </top>
      <bottom style="thick">
        <color rgb="FF000000"/>
      </bottom>
      <diagonal/>
    </border>
    <border>
      <left/>
      <right style="thick">
        <color rgb="FF000000"/>
      </right>
      <top style="thin">
        <color rgb="FFD9D9D9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auto="1"/>
      </right>
      <top style="thin">
        <color rgb="FFD88A20"/>
      </top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rgb="FFD88A20"/>
      </top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n">
        <color rgb="FFD88A20"/>
      </top>
      <bottom style="thick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8">
    <xf numFmtId="0" fontId="0" fillId="0" borderId="0"/>
    <xf numFmtId="0" fontId="6" fillId="0" borderId="0"/>
    <xf numFmtId="0" fontId="8" fillId="0" borderId="0"/>
    <xf numFmtId="0" fontId="8" fillId="0" borderId="0"/>
    <xf numFmtId="0" fontId="6" fillId="0" borderId="14"/>
    <xf numFmtId="0" fontId="6" fillId="0" borderId="14"/>
    <xf numFmtId="0" fontId="8" fillId="0" borderId="14"/>
    <xf numFmtId="0" fontId="8" fillId="0" borderId="14"/>
  </cellStyleXfs>
  <cellXfs count="182">
    <xf numFmtId="0" fontId="0" fillId="0" borderId="0" xfId="0"/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9" fillId="0" borderId="0" xfId="3" applyFont="1" applyAlignment="1">
      <alignment horizontal="center"/>
    </xf>
    <xf numFmtId="0" fontId="20" fillId="14" borderId="14" xfId="0" applyFont="1" applyFill="1" applyBorder="1" applyAlignment="1">
      <alignment horizontal="center" vertical="center" wrapText="1"/>
    </xf>
    <xf numFmtId="1" fontId="20" fillId="14" borderId="14" xfId="0" applyNumberFormat="1" applyFont="1" applyFill="1" applyBorder="1" applyAlignment="1">
      <alignment horizontal="center" vertical="center" wrapText="1"/>
    </xf>
    <xf numFmtId="0" fontId="23" fillId="19" borderId="16" xfId="0" applyFont="1" applyFill="1" applyBorder="1" applyAlignment="1">
      <alignment horizontal="center" vertical="center" wrapText="1"/>
    </xf>
    <xf numFmtId="1" fontId="23" fillId="19" borderId="16" xfId="0" applyNumberFormat="1" applyFont="1" applyFill="1" applyBorder="1" applyAlignment="1">
      <alignment horizontal="center" vertical="center" wrapText="1"/>
    </xf>
    <xf numFmtId="0" fontId="20" fillId="14" borderId="33" xfId="0" applyFont="1" applyFill="1" applyBorder="1" applyAlignment="1">
      <alignment horizontal="center" vertical="center" wrapText="1"/>
    </xf>
    <xf numFmtId="1" fontId="20" fillId="14" borderId="34" xfId="0" applyNumberFormat="1" applyFont="1" applyFill="1" applyBorder="1" applyAlignment="1">
      <alignment horizontal="center" vertical="center" wrapText="1"/>
    </xf>
    <xf numFmtId="0" fontId="23" fillId="19" borderId="21" xfId="0" applyFont="1" applyFill="1" applyBorder="1" applyAlignment="1">
      <alignment horizontal="center" vertical="center" wrapText="1"/>
    </xf>
    <xf numFmtId="1" fontId="23" fillId="19" borderId="23" xfId="0" applyNumberFormat="1" applyFont="1" applyFill="1" applyBorder="1" applyAlignment="1">
      <alignment horizontal="center" vertical="center" wrapText="1"/>
    </xf>
    <xf numFmtId="0" fontId="19" fillId="18" borderId="24" xfId="0" applyFont="1" applyFill="1" applyBorder="1" applyAlignment="1">
      <alignment horizontal="center" vertical="center" wrapText="1"/>
    </xf>
    <xf numFmtId="0" fontId="19" fillId="18" borderId="25" xfId="0" applyFont="1" applyFill="1" applyBorder="1" applyAlignment="1">
      <alignment horizontal="center" vertical="center" wrapText="1"/>
    </xf>
    <xf numFmtId="0" fontId="19" fillId="18" borderId="26" xfId="0" applyFont="1" applyFill="1" applyBorder="1" applyAlignment="1">
      <alignment horizontal="center" vertical="center" wrapText="1"/>
    </xf>
    <xf numFmtId="0" fontId="23" fillId="17" borderId="35" xfId="0" applyFont="1" applyFill="1" applyBorder="1" applyAlignment="1">
      <alignment horizontal="center" vertical="center" wrapText="1"/>
    </xf>
    <xf numFmtId="0" fontId="23" fillId="17" borderId="36" xfId="0" applyFont="1" applyFill="1" applyBorder="1" applyAlignment="1">
      <alignment horizontal="center" vertical="center" wrapText="1"/>
    </xf>
    <xf numFmtId="1" fontId="23" fillId="17" borderId="36" xfId="0" applyNumberFormat="1" applyFont="1" applyFill="1" applyBorder="1" applyAlignment="1">
      <alignment horizontal="center" vertical="center" wrapText="1"/>
    </xf>
    <xf numFmtId="0" fontId="9" fillId="0" borderId="33" xfId="3" applyFont="1" applyBorder="1" applyAlignment="1">
      <alignment horizontal="center"/>
    </xf>
    <xf numFmtId="0" fontId="9" fillId="0" borderId="14" xfId="3" applyFont="1" applyBorder="1" applyAlignment="1">
      <alignment horizontal="center"/>
    </xf>
    <xf numFmtId="0" fontId="9" fillId="0" borderId="34" xfId="3" applyFont="1" applyBorder="1" applyAlignment="1">
      <alignment horizontal="center"/>
    </xf>
    <xf numFmtId="1" fontId="10" fillId="0" borderId="33" xfId="2" applyNumberFormat="1" applyFont="1" applyBorder="1" applyAlignment="1">
      <alignment horizontal="center"/>
    </xf>
    <xf numFmtId="0" fontId="10" fillId="0" borderId="14" xfId="2" applyFont="1" applyBorder="1" applyAlignment="1">
      <alignment horizontal="center"/>
    </xf>
    <xf numFmtId="0" fontId="11" fillId="0" borderId="14" xfId="2" applyFont="1" applyBorder="1" applyAlignment="1">
      <alignment horizontal="center"/>
    </xf>
    <xf numFmtId="1" fontId="15" fillId="0" borderId="14" xfId="2" applyNumberFormat="1" applyFont="1" applyBorder="1" applyAlignment="1">
      <alignment horizontal="center"/>
    </xf>
    <xf numFmtId="1" fontId="12" fillId="0" borderId="14" xfId="2" applyNumberFormat="1" applyFont="1" applyBorder="1" applyAlignment="1">
      <alignment horizontal="center"/>
    </xf>
    <xf numFmtId="0" fontId="12" fillId="0" borderId="34" xfId="2" applyFont="1" applyBorder="1" applyAlignment="1">
      <alignment horizontal="center"/>
    </xf>
    <xf numFmtId="1" fontId="23" fillId="17" borderId="37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27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1" fontId="18" fillId="0" borderId="14" xfId="0" applyNumberFormat="1" applyFont="1" applyBorder="1" applyAlignment="1">
      <alignment horizontal="center" vertical="center"/>
    </xf>
    <xf numFmtId="0" fontId="7" fillId="0" borderId="0" xfId="2" applyFont="1" applyAlignment="1">
      <alignment horizontal="center" vertical="top" wrapText="1"/>
    </xf>
    <xf numFmtId="0" fontId="14" fillId="0" borderId="0" xfId="2" applyFont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178" fontId="1" fillId="0" borderId="5" xfId="0" applyNumberFormat="1" applyFont="1" applyBorder="1" applyAlignment="1">
      <alignment horizontal="center"/>
    </xf>
    <xf numFmtId="0" fontId="1" fillId="23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3" borderId="38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178" fontId="1" fillId="3" borderId="13" xfId="0" applyNumberFormat="1" applyFont="1" applyFill="1" applyBorder="1" applyAlignment="1">
      <alignment horizontal="center"/>
    </xf>
    <xf numFmtId="178" fontId="1" fillId="3" borderId="12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25" borderId="8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1" fillId="26" borderId="8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78" fontId="1" fillId="0" borderId="3" xfId="0" applyNumberFormat="1" applyFont="1" applyBorder="1" applyAlignment="1">
      <alignment horizontal="center"/>
    </xf>
    <xf numFmtId="0" fontId="1" fillId="27" borderId="10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4" xfId="4" applyFont="1" applyBorder="1" applyAlignment="1">
      <alignment horizontal="center" vertical="center"/>
    </xf>
    <xf numFmtId="0" fontId="1" fillId="0" borderId="5" xfId="4" applyFont="1" applyBorder="1" applyAlignment="1">
      <alignment horizontal="center" vertical="center" wrapText="1"/>
    </xf>
    <xf numFmtId="0" fontId="1" fillId="0" borderId="5" xfId="4" applyFont="1" applyBorder="1" applyAlignment="1">
      <alignment horizontal="center" vertical="center"/>
    </xf>
    <xf numFmtId="0" fontId="1" fillId="0" borderId="4" xfId="4" applyFont="1" applyBorder="1" applyAlignment="1">
      <alignment horizontal="center" vertical="center" wrapText="1"/>
    </xf>
    <xf numFmtId="0" fontId="1" fillId="0" borderId="14" xfId="4" applyFont="1" applyAlignment="1">
      <alignment horizontal="center" vertical="center"/>
    </xf>
    <xf numFmtId="10" fontId="1" fillId="0" borderId="14" xfId="4" applyNumberFormat="1" applyFont="1" applyAlignment="1">
      <alignment horizontal="center" vertical="center"/>
    </xf>
    <xf numFmtId="0" fontId="1" fillId="0" borderId="14" xfId="4" applyFont="1" applyAlignment="1">
      <alignment horizontal="center" vertical="center" wrapText="1"/>
    </xf>
    <xf numFmtId="0" fontId="1" fillId="0" borderId="6" xfId="4" applyFont="1" applyBorder="1" applyAlignment="1">
      <alignment horizontal="center" vertical="center" wrapText="1"/>
    </xf>
    <xf numFmtId="0" fontId="1" fillId="0" borderId="7" xfId="4" applyFont="1" applyBorder="1" applyAlignment="1">
      <alignment horizontal="center" vertical="center" wrapText="1"/>
    </xf>
    <xf numFmtId="0" fontId="1" fillId="5" borderId="7" xfId="4" applyFont="1" applyFill="1" applyBorder="1" applyAlignment="1">
      <alignment horizontal="center" vertical="center"/>
    </xf>
    <xf numFmtId="177" fontId="1" fillId="5" borderId="8" xfId="4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5" xfId="5" applyFont="1" applyBorder="1" applyAlignment="1">
      <alignment horizontal="center" vertical="center"/>
    </xf>
    <xf numFmtId="0" fontId="1" fillId="0" borderId="14" xfId="5" applyFont="1" applyAlignment="1">
      <alignment horizontal="center"/>
    </xf>
    <xf numFmtId="9" fontId="1" fillId="0" borderId="14" xfId="5" applyNumberFormat="1" applyFont="1" applyAlignment="1">
      <alignment horizontal="center" vertical="center"/>
    </xf>
    <xf numFmtId="9" fontId="1" fillId="25" borderId="6" xfId="0" applyNumberFormat="1" applyFont="1" applyFill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 wrapText="1"/>
    </xf>
    <xf numFmtId="9" fontId="1" fillId="0" borderId="14" xfId="0" applyNumberFormat="1" applyFont="1" applyBorder="1" applyAlignment="1">
      <alignment horizontal="center" vertical="center"/>
    </xf>
    <xf numFmtId="0" fontId="1" fillId="26" borderId="6" xfId="0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5" fillId="20" borderId="24" xfId="0" applyFont="1" applyFill="1" applyBorder="1" applyAlignment="1">
      <alignment horizontal="center" vertical="center" wrapText="1"/>
    </xf>
    <xf numFmtId="0" fontId="25" fillId="20" borderId="25" xfId="0" applyFont="1" applyFill="1" applyBorder="1" applyAlignment="1">
      <alignment horizontal="center" vertical="center" wrapText="1"/>
    </xf>
    <xf numFmtId="0" fontId="25" fillId="20" borderId="26" xfId="0" applyFont="1" applyFill="1" applyBorder="1" applyAlignment="1">
      <alignment horizontal="center" vertical="center" wrapText="1"/>
    </xf>
    <xf numFmtId="0" fontId="25" fillId="20" borderId="30" xfId="0" applyFont="1" applyFill="1" applyBorder="1" applyAlignment="1">
      <alignment horizontal="center" vertical="center" wrapText="1"/>
    </xf>
    <xf numFmtId="0" fontId="25" fillId="20" borderId="31" xfId="0" applyFont="1" applyFill="1" applyBorder="1" applyAlignment="1">
      <alignment horizontal="center" vertical="center" wrapText="1"/>
    </xf>
    <xf numFmtId="0" fontId="25" fillId="20" borderId="3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/>
    </xf>
    <xf numFmtId="0" fontId="13" fillId="8" borderId="25" xfId="0" applyFont="1" applyFill="1" applyBorder="1" applyAlignment="1">
      <alignment horizontal="center" vertical="center"/>
    </xf>
    <xf numFmtId="0" fontId="13" fillId="8" borderId="26" xfId="0" applyFont="1" applyFill="1" applyBorder="1" applyAlignment="1">
      <alignment horizontal="center" vertical="center"/>
    </xf>
    <xf numFmtId="0" fontId="28" fillId="15" borderId="30" xfId="0" applyFont="1" applyFill="1" applyBorder="1" applyAlignment="1">
      <alignment horizontal="center" vertical="center" wrapText="1"/>
    </xf>
    <xf numFmtId="0" fontId="28" fillId="15" borderId="31" xfId="0" applyFont="1" applyFill="1" applyBorder="1" applyAlignment="1">
      <alignment horizontal="center" vertical="center" wrapText="1"/>
    </xf>
    <xf numFmtId="0" fontId="28" fillId="15" borderId="32" xfId="0" applyFont="1" applyFill="1" applyBorder="1" applyAlignment="1">
      <alignment horizontal="center" vertical="center" wrapText="1"/>
    </xf>
    <xf numFmtId="0" fontId="17" fillId="16" borderId="17" xfId="0" applyFont="1" applyFill="1" applyBorder="1" applyAlignment="1">
      <alignment horizontal="center" vertical="center" wrapText="1"/>
    </xf>
    <xf numFmtId="0" fontId="17" fillId="16" borderId="18" xfId="0" applyFont="1" applyFill="1" applyBorder="1" applyAlignment="1">
      <alignment horizontal="center" vertical="center"/>
    </xf>
    <xf numFmtId="0" fontId="17" fillId="16" borderId="19" xfId="0" applyFont="1" applyFill="1" applyBorder="1" applyAlignment="1">
      <alignment horizontal="center" vertical="center"/>
    </xf>
    <xf numFmtId="0" fontId="21" fillId="17" borderId="24" xfId="0" applyFont="1" applyFill="1" applyBorder="1" applyAlignment="1">
      <alignment horizontal="center" vertical="center"/>
    </xf>
    <xf numFmtId="0" fontId="21" fillId="17" borderId="26" xfId="0" applyFont="1" applyFill="1" applyBorder="1" applyAlignment="1">
      <alignment horizontal="center" vertical="center"/>
    </xf>
    <xf numFmtId="0" fontId="21" fillId="17" borderId="20" xfId="0" applyFont="1" applyFill="1" applyBorder="1" applyAlignment="1">
      <alignment horizontal="center" vertical="center"/>
    </xf>
    <xf numFmtId="0" fontId="21" fillId="17" borderId="22" xfId="0" applyFont="1" applyFill="1" applyBorder="1" applyAlignment="1">
      <alignment horizontal="center" vertical="center"/>
    </xf>
    <xf numFmtId="0" fontId="21" fillId="17" borderId="25" xfId="0" applyFont="1" applyFill="1" applyBorder="1" applyAlignment="1">
      <alignment horizontal="center" vertical="center"/>
    </xf>
    <xf numFmtId="0" fontId="21" fillId="17" borderId="15" xfId="0" applyFont="1" applyFill="1" applyBorder="1" applyAlignment="1">
      <alignment horizontal="center" vertical="center"/>
    </xf>
    <xf numFmtId="1" fontId="22" fillId="14" borderId="27" xfId="0" applyNumberFormat="1" applyFont="1" applyFill="1" applyBorder="1" applyAlignment="1">
      <alignment horizontal="center" vertical="center"/>
    </xf>
    <xf numFmtId="0" fontId="22" fillId="14" borderId="29" xfId="0" applyFont="1" applyFill="1" applyBorder="1" applyAlignment="1">
      <alignment horizontal="center" vertical="center"/>
    </xf>
    <xf numFmtId="1" fontId="18" fillId="14" borderId="27" xfId="0" applyNumberFormat="1" applyFont="1" applyFill="1" applyBorder="1" applyAlignment="1">
      <alignment horizontal="center" vertical="center"/>
    </xf>
    <xf numFmtId="1" fontId="18" fillId="14" borderId="28" xfId="0" applyNumberFormat="1" applyFont="1" applyFill="1" applyBorder="1" applyAlignment="1">
      <alignment horizontal="center" vertical="center"/>
    </xf>
    <xf numFmtId="1" fontId="18" fillId="14" borderId="29" xfId="0" applyNumberFormat="1" applyFont="1" applyFill="1" applyBorder="1" applyAlignment="1">
      <alignment horizontal="center" vertical="center"/>
    </xf>
    <xf numFmtId="1" fontId="16" fillId="14" borderId="28" xfId="0" applyNumberFormat="1" applyFont="1" applyFill="1" applyBorder="1" applyAlignment="1">
      <alignment horizontal="center" vertical="center"/>
    </xf>
    <xf numFmtId="1" fontId="16" fillId="14" borderId="29" xfId="0" applyNumberFormat="1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26" borderId="1" xfId="0" applyFont="1" applyFill="1" applyBorder="1" applyAlignment="1">
      <alignment horizontal="center" vertical="center"/>
    </xf>
    <xf numFmtId="0" fontId="1" fillId="26" borderId="2" xfId="0" applyFont="1" applyFill="1" applyBorder="1" applyAlignment="1">
      <alignment horizontal="center" vertical="center"/>
    </xf>
    <xf numFmtId="0" fontId="1" fillId="26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21" borderId="14" xfId="0" applyFont="1" applyFill="1" applyBorder="1" applyAlignment="1">
      <alignment horizontal="center" vertical="center" wrapText="1"/>
    </xf>
    <xf numFmtId="0" fontId="5" fillId="21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 wrapText="1"/>
    </xf>
    <xf numFmtId="0" fontId="5" fillId="13" borderId="1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4" borderId="6" xfId="0" applyFont="1" applyFill="1" applyBorder="1" applyAlignment="1">
      <alignment horizontal="center" vertical="center"/>
    </xf>
    <xf numFmtId="0" fontId="4" fillId="24" borderId="7" xfId="0" applyFont="1" applyFill="1" applyBorder="1" applyAlignment="1">
      <alignment horizontal="center" vertical="center"/>
    </xf>
    <xf numFmtId="0" fontId="4" fillId="24" borderId="8" xfId="0" applyFont="1" applyFill="1" applyBorder="1" applyAlignment="1">
      <alignment horizontal="center" vertical="center"/>
    </xf>
    <xf numFmtId="0" fontId="5" fillId="22" borderId="14" xfId="0" applyFont="1" applyFill="1" applyBorder="1" applyAlignment="1">
      <alignment horizontal="center" vertical="center" wrapText="1"/>
    </xf>
  </cellXfs>
  <cellStyles count="8">
    <cellStyle name="Normal" xfId="2" xr:uid="{00000000-0005-0000-0000-000000000000}"/>
    <cellStyle name="Normal 2" xfId="6" xr:uid="{2C40627B-0060-4377-8A91-AFF8178D0484}"/>
    <cellStyle name="常规" xfId="0" builtinId="0"/>
    <cellStyle name="常规 2" xfId="1" xr:uid="{00000000-0005-0000-0000-000002000000}"/>
    <cellStyle name="常规 2 2" xfId="5" xr:uid="{76FFBABE-9117-4AF1-9EA3-CA10B242D942}"/>
    <cellStyle name="常规 3" xfId="3" xr:uid="{00000000-0005-0000-0000-000003000000}"/>
    <cellStyle name="常规 3 2" xfId="7" xr:uid="{89081A53-DE0B-4B56-A1DA-488106F0CF98}"/>
    <cellStyle name="常规 4" xfId="4" xr:uid="{14A84218-D7CA-4C62-A65E-8A46BB85F092}"/>
  </cellStyles>
  <dxfs count="21"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ill>
        <patternFill>
          <bgColor rgb="FFD1B2E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ill>
        <patternFill>
          <bgColor rgb="FFD1B2E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ill>
        <patternFill>
          <bgColor rgb="FFD1B2E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D1B2E8"/>
      <color rgb="FFCC00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CA11-D939-46F4-B5B2-5D22CCB6744C}">
  <dimension ref="A1:J28"/>
  <sheetViews>
    <sheetView workbookViewId="0">
      <selection activeCell="C3" sqref="C3"/>
    </sheetView>
  </sheetViews>
  <sheetFormatPr defaultRowHeight="13.8"/>
  <cols>
    <col min="1" max="1" width="8.88671875" style="118"/>
    <col min="2" max="2" width="16.44140625" style="118" bestFit="1" customWidth="1"/>
    <col min="3" max="3" width="25.6640625" style="118" customWidth="1"/>
    <col min="4" max="4" width="9.44140625" style="118" customWidth="1"/>
    <col min="5" max="5" width="8.88671875" style="118"/>
    <col min="6" max="6" width="18.44140625" style="118" customWidth="1"/>
    <col min="7" max="7" width="23.44140625" style="118" bestFit="1" customWidth="1"/>
    <col min="8" max="8" width="10.21875" style="118" customWidth="1"/>
    <col min="9" max="16384" width="8.88671875" style="118"/>
  </cols>
  <sheetData>
    <row r="1" spans="1:10" ht="16.8" thickTop="1" thickBot="1">
      <c r="A1" s="6"/>
      <c r="B1" s="149" t="s">
        <v>135</v>
      </c>
      <c r="C1" s="149"/>
      <c r="D1" s="149"/>
      <c r="E1" s="6"/>
      <c r="F1" s="149" t="s">
        <v>136</v>
      </c>
      <c r="G1" s="149"/>
      <c r="H1" s="149"/>
    </row>
    <row r="2" spans="1:10" ht="29.4" thickTop="1" thickBot="1">
      <c r="A2" s="6"/>
      <c r="B2" s="119" t="s">
        <v>132</v>
      </c>
      <c r="C2" s="119" t="s">
        <v>133</v>
      </c>
      <c r="D2" s="119" t="s">
        <v>134</v>
      </c>
      <c r="E2" s="61"/>
      <c r="F2" s="119" t="s">
        <v>132</v>
      </c>
      <c r="G2" s="119" t="s">
        <v>133</v>
      </c>
      <c r="H2" s="119" t="s">
        <v>134</v>
      </c>
    </row>
    <row r="3" spans="1:10" ht="29.4" thickTop="1" thickBot="1">
      <c r="A3" s="6"/>
      <c r="B3" s="119" t="s">
        <v>69</v>
      </c>
      <c r="C3" s="119" t="s">
        <v>148</v>
      </c>
      <c r="D3" s="119">
        <v>1</v>
      </c>
      <c r="E3" s="61"/>
      <c r="F3" s="119" t="s">
        <v>91</v>
      </c>
      <c r="G3" s="119" t="s">
        <v>73</v>
      </c>
      <c r="H3" s="119">
        <v>2</v>
      </c>
      <c r="J3" s="120"/>
    </row>
    <row r="4" spans="1:10" ht="29.4" thickTop="1" thickBot="1">
      <c r="A4" s="6"/>
      <c r="B4" s="119" t="s">
        <v>69</v>
      </c>
      <c r="C4" s="119" t="s">
        <v>70</v>
      </c>
      <c r="D4" s="119">
        <v>5</v>
      </c>
      <c r="E4" s="61"/>
      <c r="F4" s="119" t="s">
        <v>92</v>
      </c>
      <c r="G4" s="119" t="s">
        <v>93</v>
      </c>
      <c r="H4" s="119">
        <v>1</v>
      </c>
    </row>
    <row r="5" spans="1:10" ht="29.4" thickTop="1" thickBot="1">
      <c r="A5" s="6"/>
      <c r="B5" s="119" t="s">
        <v>71</v>
      </c>
      <c r="C5" s="119" t="s">
        <v>138</v>
      </c>
      <c r="D5" s="119">
        <v>5</v>
      </c>
      <c r="E5" s="61"/>
      <c r="F5" s="119" t="s">
        <v>94</v>
      </c>
      <c r="G5" s="119" t="s">
        <v>95</v>
      </c>
      <c r="H5" s="119">
        <v>5</v>
      </c>
    </row>
    <row r="6" spans="1:10" ht="29.4" thickTop="1" thickBot="1">
      <c r="A6" s="6"/>
      <c r="B6" s="119" t="s">
        <v>72</v>
      </c>
      <c r="C6" s="119" t="s">
        <v>73</v>
      </c>
      <c r="D6" s="119">
        <v>5</v>
      </c>
      <c r="E6" s="61"/>
      <c r="F6" s="119" t="s">
        <v>96</v>
      </c>
      <c r="G6" s="119" t="s">
        <v>97</v>
      </c>
      <c r="H6" s="119">
        <v>5</v>
      </c>
    </row>
    <row r="7" spans="1:10" ht="29.4" thickTop="1" thickBot="1">
      <c r="A7" s="6"/>
      <c r="B7" s="119" t="s">
        <v>74</v>
      </c>
      <c r="C7" s="119" t="s">
        <v>75</v>
      </c>
      <c r="D7" s="119">
        <v>1</v>
      </c>
      <c r="E7" s="61"/>
      <c r="F7" s="119" t="s">
        <v>98</v>
      </c>
      <c r="G7" s="119" t="s">
        <v>99</v>
      </c>
      <c r="H7" s="119">
        <v>5</v>
      </c>
    </row>
    <row r="8" spans="1:10" ht="29.4" thickTop="1" thickBot="1">
      <c r="A8" s="6"/>
      <c r="B8" s="119" t="s">
        <v>71</v>
      </c>
      <c r="C8" s="119" t="s">
        <v>76</v>
      </c>
      <c r="D8" s="119">
        <v>5</v>
      </c>
      <c r="E8" s="61"/>
      <c r="F8" s="119" t="s">
        <v>100</v>
      </c>
      <c r="G8" s="119" t="s">
        <v>101</v>
      </c>
      <c r="H8" s="119">
        <v>1</v>
      </c>
    </row>
    <row r="9" spans="1:10" ht="29.4" thickTop="1" thickBot="1">
      <c r="A9" s="6"/>
      <c r="B9" s="119" t="s">
        <v>77</v>
      </c>
      <c r="C9" s="119" t="s">
        <v>78</v>
      </c>
      <c r="D9" s="119">
        <v>5</v>
      </c>
      <c r="E9" s="61"/>
      <c r="F9" s="119" t="s">
        <v>102</v>
      </c>
      <c r="G9" s="119" t="s">
        <v>103</v>
      </c>
      <c r="H9" s="119">
        <v>5</v>
      </c>
    </row>
    <row r="10" spans="1:10" ht="29.4" thickTop="1" thickBot="1">
      <c r="A10" s="6"/>
      <c r="B10" s="119" t="s">
        <v>79</v>
      </c>
      <c r="C10" s="119" t="s">
        <v>80</v>
      </c>
      <c r="D10" s="119">
        <v>1</v>
      </c>
      <c r="E10" s="61"/>
      <c r="F10" s="119" t="s">
        <v>102</v>
      </c>
      <c r="G10" s="119" t="s">
        <v>104</v>
      </c>
      <c r="H10" s="119">
        <v>1</v>
      </c>
    </row>
    <row r="11" spans="1:10" ht="29.4" thickTop="1" thickBot="1">
      <c r="A11" s="6"/>
      <c r="B11" s="119" t="s">
        <v>79</v>
      </c>
      <c r="C11" s="119" t="s">
        <v>143</v>
      </c>
      <c r="D11" s="119">
        <v>1</v>
      </c>
      <c r="E11" s="61"/>
      <c r="F11" s="119" t="s">
        <v>105</v>
      </c>
      <c r="G11" s="119" t="s">
        <v>106</v>
      </c>
      <c r="H11" s="119">
        <v>4</v>
      </c>
    </row>
    <row r="12" spans="1:10" ht="29.4" thickTop="1" thickBot="1">
      <c r="A12" s="6"/>
      <c r="B12" s="119" t="s">
        <v>81</v>
      </c>
      <c r="C12" s="119" t="s">
        <v>82</v>
      </c>
      <c r="D12" s="119">
        <v>1</v>
      </c>
      <c r="E12" s="61"/>
      <c r="F12" s="119" t="s">
        <v>107</v>
      </c>
      <c r="G12" s="119" t="s">
        <v>108</v>
      </c>
      <c r="H12" s="119">
        <v>10</v>
      </c>
    </row>
    <row r="13" spans="1:10" ht="29.4" thickTop="1" thickBot="1">
      <c r="A13" s="6"/>
      <c r="B13" s="119" t="s">
        <v>83</v>
      </c>
      <c r="C13" s="119" t="s">
        <v>84</v>
      </c>
      <c r="D13" s="119">
        <v>1</v>
      </c>
      <c r="E13" s="61"/>
      <c r="F13" s="119" t="s">
        <v>109</v>
      </c>
      <c r="G13" s="119" t="s">
        <v>110</v>
      </c>
      <c r="H13" s="119">
        <v>100</v>
      </c>
    </row>
    <row r="14" spans="1:10" ht="29.4" thickTop="1" thickBot="1">
      <c r="A14" s="6"/>
      <c r="B14" s="119" t="s">
        <v>85</v>
      </c>
      <c r="C14" s="119" t="s">
        <v>86</v>
      </c>
      <c r="D14" s="119">
        <v>1</v>
      </c>
      <c r="E14" s="61"/>
      <c r="F14" s="119" t="s">
        <v>111</v>
      </c>
      <c r="G14" s="119" t="s">
        <v>112</v>
      </c>
      <c r="H14" s="119">
        <v>5</v>
      </c>
    </row>
    <row r="15" spans="1:10" ht="29.4" thickTop="1" thickBot="1">
      <c r="A15" s="6"/>
      <c r="B15" s="119" t="s">
        <v>87</v>
      </c>
      <c r="C15" s="119" t="s">
        <v>88</v>
      </c>
      <c r="D15" s="119">
        <v>5</v>
      </c>
      <c r="E15" s="61"/>
      <c r="F15" s="119" t="s">
        <v>111</v>
      </c>
      <c r="G15" s="119" t="s">
        <v>113</v>
      </c>
      <c r="H15" s="119">
        <v>20</v>
      </c>
    </row>
    <row r="16" spans="1:10" ht="29.4" thickTop="1" thickBot="1">
      <c r="A16" s="6"/>
      <c r="B16" s="119" t="s">
        <v>89</v>
      </c>
      <c r="C16" s="119" t="s">
        <v>90</v>
      </c>
      <c r="D16" s="119">
        <v>4294967295</v>
      </c>
      <c r="E16" s="61"/>
      <c r="F16" s="119" t="s">
        <v>114</v>
      </c>
      <c r="G16" s="119" t="s">
        <v>115</v>
      </c>
      <c r="H16" s="119">
        <v>20</v>
      </c>
    </row>
    <row r="17" spans="2:8" ht="29.4" thickTop="1" thickBot="1">
      <c r="B17" s="117"/>
      <c r="C17" s="117"/>
      <c r="D17" s="117"/>
      <c r="E17" s="61"/>
      <c r="F17" s="119" t="s">
        <v>116</v>
      </c>
      <c r="G17" s="119" t="s">
        <v>117</v>
      </c>
      <c r="H17" s="119">
        <v>20</v>
      </c>
    </row>
    <row r="18" spans="2:8" ht="29.4" thickTop="1" thickBot="1">
      <c r="B18" s="117"/>
      <c r="C18" s="117"/>
      <c r="D18" s="117"/>
      <c r="E18" s="61"/>
      <c r="F18" s="119" t="s">
        <v>118</v>
      </c>
      <c r="G18" s="119" t="s">
        <v>119</v>
      </c>
      <c r="H18" s="119">
        <v>6</v>
      </c>
    </row>
    <row r="19" spans="2:8" ht="29.4" thickTop="1" thickBot="1">
      <c r="B19" s="117"/>
      <c r="C19" s="117"/>
      <c r="D19" s="117"/>
      <c r="E19" s="61"/>
      <c r="F19" s="119" t="s">
        <v>118</v>
      </c>
      <c r="G19" s="119" t="s">
        <v>120</v>
      </c>
      <c r="H19" s="119">
        <v>6</v>
      </c>
    </row>
    <row r="20" spans="2:8" ht="29.4" thickTop="1" thickBot="1">
      <c r="B20" s="117"/>
      <c r="C20" s="117"/>
      <c r="D20" s="117"/>
      <c r="E20" s="61"/>
      <c r="F20" s="119" t="s">
        <v>118</v>
      </c>
      <c r="G20" s="119" t="s">
        <v>121</v>
      </c>
      <c r="H20" s="119">
        <v>4</v>
      </c>
    </row>
    <row r="21" spans="2:8" ht="29.4" thickTop="1" thickBot="1">
      <c r="B21" s="117"/>
      <c r="C21" s="117"/>
      <c r="D21" s="117"/>
      <c r="E21" s="61"/>
      <c r="F21" s="119" t="s">
        <v>118</v>
      </c>
      <c r="G21" s="119" t="s">
        <v>122</v>
      </c>
      <c r="H21" s="119">
        <v>4</v>
      </c>
    </row>
    <row r="22" spans="2:8" ht="29.4" thickTop="1" thickBot="1">
      <c r="B22" s="117"/>
      <c r="C22" s="117"/>
      <c r="D22" s="117"/>
      <c r="E22" s="61"/>
      <c r="F22" s="119" t="s">
        <v>123</v>
      </c>
      <c r="G22" s="119" t="s">
        <v>124</v>
      </c>
      <c r="H22" s="119">
        <v>10</v>
      </c>
    </row>
    <row r="23" spans="2:8" ht="29.4" thickTop="1" thickBot="1">
      <c r="B23" s="117"/>
      <c r="C23" s="117"/>
      <c r="D23" s="117"/>
      <c r="E23" s="61"/>
      <c r="F23" s="119" t="s">
        <v>125</v>
      </c>
      <c r="G23" s="119" t="s">
        <v>126</v>
      </c>
      <c r="H23" s="119">
        <v>10</v>
      </c>
    </row>
    <row r="24" spans="2:8" ht="29.4" thickTop="1" thickBot="1">
      <c r="B24" s="117"/>
      <c r="C24" s="117"/>
      <c r="D24" s="117"/>
      <c r="E24" s="61"/>
      <c r="F24" s="119" t="s">
        <v>125</v>
      </c>
      <c r="G24" s="119" t="s">
        <v>90</v>
      </c>
      <c r="H24" s="119">
        <v>4294967295</v>
      </c>
    </row>
    <row r="25" spans="2:8" ht="29.4" thickTop="1" thickBot="1">
      <c r="B25" s="117"/>
      <c r="C25" s="117"/>
      <c r="D25" s="117"/>
      <c r="E25" s="61"/>
      <c r="F25" s="119" t="s">
        <v>127</v>
      </c>
      <c r="G25" s="119" t="s">
        <v>128</v>
      </c>
      <c r="H25" s="119">
        <v>10</v>
      </c>
    </row>
    <row r="26" spans="2:8" ht="29.4" thickTop="1" thickBot="1">
      <c r="B26" s="117"/>
      <c r="C26" s="117"/>
      <c r="D26" s="117"/>
      <c r="E26" s="61"/>
      <c r="F26" s="119" t="s">
        <v>129</v>
      </c>
      <c r="G26" s="119" t="s">
        <v>130</v>
      </c>
      <c r="H26" s="119">
        <v>50</v>
      </c>
    </row>
    <row r="27" spans="2:8" ht="29.4" thickTop="1" thickBot="1">
      <c r="B27" s="117"/>
      <c r="C27" s="117"/>
      <c r="D27" s="117"/>
      <c r="E27" s="61"/>
      <c r="F27" s="119" t="s">
        <v>129</v>
      </c>
      <c r="G27" s="119" t="s">
        <v>131</v>
      </c>
      <c r="H27" s="119">
        <v>50</v>
      </c>
    </row>
    <row r="28" spans="2:8" ht="14.4" thickTop="1"/>
  </sheetData>
  <mergeCells count="2">
    <mergeCell ref="B1:D1"/>
    <mergeCell ref="F1:H1"/>
  </mergeCells>
  <phoneticPr fontId="24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6"/>
  <sheetViews>
    <sheetView workbookViewId="0">
      <selection activeCell="F15" sqref="F15"/>
    </sheetView>
  </sheetViews>
  <sheetFormatPr defaultRowHeight="15.6"/>
  <cols>
    <col min="1" max="1" width="14.77734375" style="27" customWidth="1"/>
    <col min="2" max="4" width="11.77734375" style="27" customWidth="1"/>
    <col min="5" max="5" width="8.88671875" style="27"/>
    <col min="6" max="6" width="11.6640625" style="27" customWidth="1"/>
    <col min="7" max="7" width="9.88671875" style="27" customWidth="1"/>
    <col min="8" max="8" width="11.77734375" style="27" customWidth="1"/>
    <col min="9" max="9" width="12.33203125" style="27" customWidth="1"/>
    <col min="10" max="10" width="8.88671875" style="27"/>
    <col min="11" max="12" width="11.6640625" style="27" customWidth="1"/>
    <col min="13" max="13" width="5.6640625" style="27" customWidth="1"/>
    <col min="14" max="14" width="8.77734375" style="27" customWidth="1"/>
    <col min="15" max="15" width="9" style="27" customWidth="1"/>
    <col min="16" max="16" width="8.88671875" style="27"/>
    <col min="17" max="21" width="9" style="27" customWidth="1"/>
    <col min="22" max="22" width="16" style="27" customWidth="1"/>
    <col min="23" max="23" width="14.77734375" style="27" customWidth="1"/>
    <col min="24" max="16384" width="8.88671875" style="27"/>
  </cols>
  <sheetData>
    <row r="1" spans="1:23" ht="16.2" thickTop="1">
      <c r="A1" s="20" t="s">
        <v>2</v>
      </c>
      <c r="B1" s="21" t="s">
        <v>65</v>
      </c>
      <c r="F1" s="156" t="s">
        <v>59</v>
      </c>
      <c r="G1" s="157"/>
      <c r="H1" s="157"/>
      <c r="I1" s="158"/>
      <c r="K1" s="162" t="str">
        <f xml:space="preserve"> 普通兑换道具 &amp;"/" &amp; 抽奖道具</f>
        <v>普通卷轴/制作券</v>
      </c>
      <c r="L1" s="163"/>
      <c r="M1" s="163"/>
      <c r="N1" s="164"/>
      <c r="O1" s="25"/>
      <c r="Q1" s="29"/>
      <c r="R1" s="29"/>
      <c r="S1" s="29"/>
      <c r="T1" s="29"/>
      <c r="U1" s="29"/>
      <c r="V1" s="29"/>
      <c r="W1" s="29"/>
    </row>
    <row r="2" spans="1:23">
      <c r="A2" s="7" t="s">
        <v>3</v>
      </c>
      <c r="B2" s="26" t="s">
        <v>66</v>
      </c>
      <c r="F2" s="7"/>
      <c r="G2" s="90" t="s">
        <v>4</v>
      </c>
      <c r="H2" s="90" t="s">
        <v>5</v>
      </c>
      <c r="I2" s="33" t="s">
        <v>6</v>
      </c>
      <c r="K2" s="165" t="str">
        <f>普通兑换道具</f>
        <v>普通卷轴</v>
      </c>
      <c r="L2" s="97" t="s">
        <v>60</v>
      </c>
      <c r="M2" s="90" t="s">
        <v>61</v>
      </c>
      <c r="N2" s="33"/>
      <c r="O2" s="25"/>
    </row>
    <row r="3" spans="1:23" ht="16.2" thickBot="1">
      <c r="A3" s="8" t="s">
        <v>7</v>
      </c>
      <c r="B3" s="17" t="s">
        <v>67</v>
      </c>
      <c r="F3" s="98" t="str">
        <f>高级兑换道具</f>
        <v>高级卷轴</v>
      </c>
      <c r="G3" s="102">
        <v>1</v>
      </c>
      <c r="H3" s="103">
        <v>0.2</v>
      </c>
      <c r="I3" s="100">
        <f>G3*H3*积分规则2</f>
        <v>0.2</v>
      </c>
      <c r="K3" s="165"/>
      <c r="L3" s="111">
        <v>50</v>
      </c>
      <c r="M3" s="112">
        <v>0.05</v>
      </c>
      <c r="N3" s="110">
        <v>2.5</v>
      </c>
      <c r="O3" s="25"/>
      <c r="T3" s="30"/>
      <c r="U3" s="30"/>
      <c r="V3" s="30"/>
      <c r="W3" s="30"/>
    </row>
    <row r="4" spans="1:23" ht="16.8" thickTop="1" thickBot="1">
      <c r="F4" s="98" t="str">
        <f>高级兑换道具</f>
        <v>高级卷轴</v>
      </c>
      <c r="G4" s="102">
        <v>2</v>
      </c>
      <c r="H4" s="103">
        <v>0.05</v>
      </c>
      <c r="I4" s="100">
        <f>G4*H4*积分规则2</f>
        <v>0.1</v>
      </c>
      <c r="K4" s="165"/>
      <c r="L4" s="111">
        <v>20</v>
      </c>
      <c r="M4" s="112">
        <v>0.1</v>
      </c>
      <c r="N4" s="110">
        <v>2</v>
      </c>
      <c r="O4" s="25"/>
      <c r="T4" s="30"/>
      <c r="U4" s="30"/>
    </row>
    <row r="5" spans="1:23" ht="16.2" thickTop="1">
      <c r="A5" s="22" t="s">
        <v>8</v>
      </c>
      <c r="B5" s="23" t="s">
        <v>9</v>
      </c>
      <c r="C5" s="24" t="s">
        <v>10</v>
      </c>
      <c r="F5" s="98"/>
      <c r="G5" s="102"/>
      <c r="H5" s="104"/>
      <c r="I5" s="99"/>
      <c r="K5" s="165"/>
      <c r="L5" s="111">
        <v>10</v>
      </c>
      <c r="M5" s="112">
        <v>0.15</v>
      </c>
      <c r="N5" s="110">
        <v>1.5</v>
      </c>
      <c r="O5" s="25"/>
      <c r="T5" s="30"/>
      <c r="U5" s="30"/>
    </row>
    <row r="6" spans="1:23">
      <c r="A6" s="3" t="s">
        <v>11</v>
      </c>
      <c r="B6" s="1">
        <v>1200</v>
      </c>
      <c r="C6" s="4">
        <v>0</v>
      </c>
      <c r="F6" s="101"/>
      <c r="G6" s="104"/>
      <c r="H6" s="104"/>
      <c r="I6" s="99"/>
      <c r="K6" s="165"/>
      <c r="L6" s="111">
        <v>5</v>
      </c>
      <c r="M6" s="112">
        <v>0.2</v>
      </c>
      <c r="N6" s="110">
        <v>1</v>
      </c>
      <c r="O6" s="25"/>
      <c r="T6" s="30"/>
      <c r="U6" s="30"/>
    </row>
    <row r="7" spans="1:23">
      <c r="A7" s="3" t="s">
        <v>12</v>
      </c>
      <c r="B7" s="1">
        <v>2500</v>
      </c>
      <c r="C7" s="4">
        <f>档位奖励1+3</f>
        <v>3</v>
      </c>
      <c r="F7" s="101"/>
      <c r="G7" s="104"/>
      <c r="H7" s="104"/>
      <c r="I7" s="99"/>
      <c r="K7" s="165"/>
      <c r="L7" s="111">
        <v>15</v>
      </c>
      <c r="M7" s="112">
        <v>0.15</v>
      </c>
      <c r="N7" s="110">
        <v>2.25</v>
      </c>
      <c r="O7" s="25"/>
      <c r="T7" s="30"/>
      <c r="U7" s="30"/>
    </row>
    <row r="8" spans="1:23">
      <c r="A8" s="3" t="s">
        <v>13</v>
      </c>
      <c r="B8" s="1">
        <v>3800</v>
      </c>
      <c r="C8" s="4">
        <f>档位奖励2+11</f>
        <v>14</v>
      </c>
      <c r="F8" s="101"/>
      <c r="G8" s="104"/>
      <c r="H8" s="104"/>
      <c r="I8" s="99"/>
      <c r="J8" s="29"/>
      <c r="K8" s="165"/>
      <c r="L8" s="111">
        <v>25</v>
      </c>
      <c r="M8" s="112">
        <v>0.1</v>
      </c>
      <c r="N8" s="110">
        <v>2.5</v>
      </c>
      <c r="O8" s="25"/>
      <c r="T8" s="30"/>
      <c r="U8" s="30"/>
    </row>
    <row r="9" spans="1:23" ht="16.2" thickBot="1">
      <c r="A9" s="3" t="s">
        <v>14</v>
      </c>
      <c r="B9" s="1">
        <v>9100</v>
      </c>
      <c r="C9" s="4">
        <f>档位奖励3+58</f>
        <v>72</v>
      </c>
      <c r="F9" s="105"/>
      <c r="G9" s="106"/>
      <c r="H9" s="107" t="s">
        <v>1</v>
      </c>
      <c r="I9" s="108">
        <f>SUM(I3:I4)</f>
        <v>0.30000000000000004</v>
      </c>
      <c r="K9" s="113" t="s">
        <v>62</v>
      </c>
      <c r="L9" s="9"/>
      <c r="M9" s="114">
        <f>SUM(M3:M8)</f>
        <v>0.75</v>
      </c>
      <c r="N9" s="91">
        <f>SUM(N3:N8)</f>
        <v>11.75</v>
      </c>
      <c r="T9" s="30"/>
      <c r="U9" s="30"/>
    </row>
    <row r="10" spans="1:23" ht="16.8" thickTop="1" thickBot="1">
      <c r="A10" s="5" t="s">
        <v>15</v>
      </c>
      <c r="B10" s="9">
        <v>15800</v>
      </c>
      <c r="C10" s="13">
        <f>档位奖励4+72</f>
        <v>144</v>
      </c>
      <c r="K10" s="1"/>
      <c r="L10" s="1"/>
      <c r="M10" s="1"/>
      <c r="N10" s="1"/>
      <c r="T10" s="30"/>
      <c r="U10" s="30"/>
    </row>
    <row r="11" spans="1:23" ht="16.8" thickTop="1" thickBot="1">
      <c r="K11" s="162" t="str">
        <f xml:space="preserve"> 高级兑换道具 &amp;"/" &amp; 抽奖道具</f>
        <v>高级卷轴/制作券</v>
      </c>
      <c r="L11" s="163"/>
      <c r="M11" s="163"/>
      <c r="N11" s="164"/>
      <c r="T11" s="30"/>
      <c r="U11" s="30"/>
    </row>
    <row r="12" spans="1:23" ht="16.2" thickTop="1">
      <c r="A12" s="159" t="s">
        <v>16</v>
      </c>
      <c r="B12" s="160"/>
      <c r="C12" s="161"/>
      <c r="K12" s="165" t="str">
        <f>高级兑换道具</f>
        <v>高级卷轴</v>
      </c>
      <c r="L12" s="90" t="s">
        <v>60</v>
      </c>
      <c r="M12" s="90" t="s">
        <v>61</v>
      </c>
      <c r="N12" s="33"/>
      <c r="T12" s="30"/>
      <c r="U12" s="30"/>
    </row>
    <row r="13" spans="1:23">
      <c r="A13" s="3" t="str">
        <f>"获得 1 " &amp; 抽奖道具</f>
        <v>获得 1 制作券</v>
      </c>
      <c r="B13" s="97">
        <v>10</v>
      </c>
      <c r="C13" s="4" t="s">
        <v>6</v>
      </c>
      <c r="K13" s="165"/>
      <c r="L13" s="90">
        <v>1</v>
      </c>
      <c r="M13" s="115">
        <v>0.2</v>
      </c>
      <c r="N13" s="33">
        <f>L13*M13</f>
        <v>0.2</v>
      </c>
      <c r="T13" s="30"/>
      <c r="U13" s="30"/>
    </row>
    <row r="14" spans="1:23">
      <c r="A14" s="3" t="str">
        <f xml:space="preserve"> "1" &amp; 高级兑换道具</f>
        <v>1高级卷轴</v>
      </c>
      <c r="B14" s="97">
        <v>1</v>
      </c>
      <c r="C14" s="4" t="s">
        <v>6</v>
      </c>
      <c r="E14" s="109"/>
      <c r="F14" s="109"/>
      <c r="G14" s="109"/>
      <c r="H14" s="109"/>
      <c r="I14" s="109"/>
      <c r="K14" s="165"/>
      <c r="L14" s="90">
        <v>2</v>
      </c>
      <c r="M14" s="115">
        <v>0.05</v>
      </c>
      <c r="N14" s="33">
        <f>L14*M14</f>
        <v>0.1</v>
      </c>
      <c r="T14" s="30"/>
      <c r="U14" s="30"/>
    </row>
    <row r="15" spans="1:23" ht="16.2" thickBot="1">
      <c r="A15" s="5"/>
      <c r="B15" s="9"/>
      <c r="C15" s="13"/>
      <c r="E15" s="109"/>
      <c r="F15" s="109"/>
      <c r="G15" s="109"/>
      <c r="H15" s="109"/>
      <c r="I15" s="109"/>
      <c r="K15" s="94"/>
      <c r="L15" s="90"/>
      <c r="M15" s="115"/>
      <c r="N15" s="33"/>
      <c r="T15" s="30"/>
      <c r="U15" s="30"/>
    </row>
    <row r="16" spans="1:23" ht="16.8" thickTop="1" thickBot="1">
      <c r="K16" s="116" t="s">
        <v>62</v>
      </c>
      <c r="L16" s="92"/>
      <c r="M16" s="114">
        <f>SUM(M13:M14)</f>
        <v>0.25</v>
      </c>
      <c r="N16" s="93">
        <f>N14+N13</f>
        <v>0.30000000000000004</v>
      </c>
      <c r="T16" s="30"/>
      <c r="U16" s="30"/>
    </row>
    <row r="17" spans="1:21" ht="16.2" thickTop="1">
      <c r="A17" s="150" t="s">
        <v>17</v>
      </c>
      <c r="B17" s="151"/>
      <c r="C17" s="152"/>
      <c r="T17" s="30"/>
      <c r="U17" s="30"/>
    </row>
    <row r="18" spans="1:21">
      <c r="A18" s="3" t="str">
        <f>"1"&amp; 抽奖道具</f>
        <v>1制作券</v>
      </c>
      <c r="B18" s="1">
        <v>60</v>
      </c>
      <c r="C18" s="4" t="s">
        <v>18</v>
      </c>
      <c r="T18" s="30"/>
      <c r="U18" s="30"/>
    </row>
    <row r="19" spans="1:21">
      <c r="A19" s="5" t="s">
        <v>19</v>
      </c>
      <c r="B19" s="9">
        <v>120</v>
      </c>
      <c r="C19" s="13" t="s">
        <v>20</v>
      </c>
      <c r="T19" s="30"/>
      <c r="U19" s="30"/>
    </row>
    <row r="20" spans="1:21">
      <c r="T20" s="30"/>
      <c r="U20" s="30"/>
    </row>
    <row r="21" spans="1:21">
      <c r="A21" s="153" t="s">
        <v>21</v>
      </c>
      <c r="B21" s="154"/>
      <c r="C21" s="154"/>
      <c r="D21" s="155"/>
      <c r="T21" s="30"/>
      <c r="U21" s="30"/>
    </row>
    <row r="22" spans="1:21">
      <c r="A22" s="3" t="s">
        <v>4</v>
      </c>
      <c r="B22" s="1" t="s">
        <v>5</v>
      </c>
      <c r="C22" s="1" t="s">
        <v>22</v>
      </c>
      <c r="D22" s="4" t="s">
        <v>23</v>
      </c>
      <c r="T22" s="30"/>
      <c r="U22" s="30"/>
    </row>
    <row r="23" spans="1:21">
      <c r="A23" s="3">
        <v>10</v>
      </c>
      <c r="B23" s="2">
        <v>0.95</v>
      </c>
      <c r="C23" s="1">
        <f>B23*A23</f>
        <v>9.5</v>
      </c>
      <c r="D23" s="4">
        <f>C23*积分规则2</f>
        <v>9.5</v>
      </c>
      <c r="T23" s="30"/>
      <c r="U23" s="30"/>
    </row>
    <row r="24" spans="1:21">
      <c r="A24" s="3">
        <v>15</v>
      </c>
      <c r="B24" s="18">
        <v>4.9000000000000002E-2</v>
      </c>
      <c r="C24" s="1">
        <f t="shared" ref="C24:C25" si="0">B24*A24</f>
        <v>0.73499999999999999</v>
      </c>
      <c r="D24" s="4">
        <f>C24*积分规则2</f>
        <v>0.73499999999999999</v>
      </c>
    </row>
    <row r="25" spans="1:21">
      <c r="A25" s="3">
        <v>20</v>
      </c>
      <c r="B25" s="19">
        <v>1E-3</v>
      </c>
      <c r="C25" s="1">
        <f t="shared" si="0"/>
        <v>0.02</v>
      </c>
      <c r="D25" s="4">
        <f>C25*积分规则2</f>
        <v>0.02</v>
      </c>
    </row>
    <row r="26" spans="1:21">
      <c r="A26" s="5"/>
      <c r="B26" s="11" t="s">
        <v>1</v>
      </c>
      <c r="C26" s="11">
        <f>SUM(C23:C25)</f>
        <v>10.254999999999999</v>
      </c>
      <c r="D26" s="12">
        <f>C26*积分规则2</f>
        <v>10.254999999999999</v>
      </c>
    </row>
    <row r="28" spans="1:21">
      <c r="A28" s="31" t="s">
        <v>24</v>
      </c>
      <c r="B28" s="32" t="s">
        <v>0</v>
      </c>
    </row>
    <row r="29" spans="1:21">
      <c r="A29" s="3">
        <v>6</v>
      </c>
      <c r="B29" s="4">
        <v>100</v>
      </c>
    </row>
    <row r="30" spans="1:21">
      <c r="A30" s="3">
        <v>30</v>
      </c>
      <c r="B30" s="4">
        <v>500</v>
      </c>
    </row>
    <row r="31" spans="1:21">
      <c r="A31" s="3">
        <v>68</v>
      </c>
      <c r="B31" s="4">
        <v>1000</v>
      </c>
    </row>
    <row r="32" spans="1:21">
      <c r="A32" s="3">
        <v>98</v>
      </c>
      <c r="B32" s="4">
        <v>1500</v>
      </c>
    </row>
    <row r="33" spans="1:2">
      <c r="A33" s="3">
        <v>128</v>
      </c>
      <c r="B33" s="4">
        <v>2000</v>
      </c>
    </row>
    <row r="34" spans="1:2">
      <c r="A34" s="3">
        <v>198</v>
      </c>
      <c r="B34" s="4">
        <v>3000</v>
      </c>
    </row>
    <row r="35" spans="1:2">
      <c r="A35" s="3">
        <v>328</v>
      </c>
      <c r="B35" s="4">
        <v>5000</v>
      </c>
    </row>
    <row r="36" spans="1:2">
      <c r="A36" s="5">
        <v>648</v>
      </c>
      <c r="B36" s="13">
        <v>10000</v>
      </c>
    </row>
  </sheetData>
  <mergeCells count="8">
    <mergeCell ref="A17:C17"/>
    <mergeCell ref="A21:D21"/>
    <mergeCell ref="F1:I1"/>
    <mergeCell ref="A12:C12"/>
    <mergeCell ref="K1:N1"/>
    <mergeCell ref="K11:N11"/>
    <mergeCell ref="K2:K8"/>
    <mergeCell ref="K12:K14"/>
  </mergeCells>
  <phoneticPr fontId="24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74"/>
  <sheetViews>
    <sheetView topLeftCell="A19" workbookViewId="0">
      <selection activeCell="N13" sqref="N13"/>
    </sheetView>
  </sheetViews>
  <sheetFormatPr defaultRowHeight="15.6"/>
  <cols>
    <col min="1" max="1" width="3.77734375" style="1" customWidth="1"/>
    <col min="2" max="2" width="16.109375" style="1" customWidth="1"/>
    <col min="3" max="16" width="10.77734375" style="1" customWidth="1"/>
    <col min="17" max="17" width="7.77734375" style="1" customWidth="1"/>
    <col min="18" max="18" width="13.5546875" style="1" customWidth="1"/>
    <col min="19" max="19" width="9.88671875" style="1" customWidth="1"/>
    <col min="20" max="20" width="13.6640625" style="1" customWidth="1"/>
    <col min="21" max="21" width="14.6640625" style="1" customWidth="1"/>
    <col min="22" max="16384" width="8.88671875" style="1"/>
  </cols>
  <sheetData>
    <row r="1" spans="2:16" ht="16.2" thickBot="1"/>
    <row r="2" spans="2:16" ht="16.2" thickTop="1">
      <c r="B2" s="14"/>
      <c r="C2" s="168" t="s">
        <v>25</v>
      </c>
      <c r="D2" s="169"/>
      <c r="E2" s="168" t="s">
        <v>26</v>
      </c>
      <c r="F2" s="169"/>
      <c r="G2" s="168" t="s">
        <v>27</v>
      </c>
      <c r="H2" s="169"/>
      <c r="I2" s="168" t="s">
        <v>28</v>
      </c>
      <c r="J2" s="169"/>
      <c r="K2" s="168" t="s">
        <v>29</v>
      </c>
      <c r="L2" s="169"/>
      <c r="M2" s="168" t="s">
        <v>30</v>
      </c>
      <c r="N2" s="169"/>
      <c r="O2" s="168" t="s">
        <v>31</v>
      </c>
      <c r="P2" s="169"/>
    </row>
    <row r="3" spans="2:16" ht="16.2" thickBot="1">
      <c r="B3" s="15"/>
      <c r="C3" s="3" t="str">
        <f>抽奖道具</f>
        <v>制作券</v>
      </c>
      <c r="D3" s="4" t="s">
        <v>6</v>
      </c>
      <c r="E3" s="3" t="str">
        <f>抽奖道具</f>
        <v>制作券</v>
      </c>
      <c r="F3" s="4" t="s">
        <v>6</v>
      </c>
      <c r="G3" s="3" t="str">
        <f>抽奖道具</f>
        <v>制作券</v>
      </c>
      <c r="H3" s="4" t="s">
        <v>6</v>
      </c>
      <c r="I3" s="3" t="str">
        <f>抽奖道具</f>
        <v>制作券</v>
      </c>
      <c r="J3" s="4" t="s">
        <v>6</v>
      </c>
      <c r="K3" s="3" t="str">
        <f>抽奖道具</f>
        <v>制作券</v>
      </c>
      <c r="L3" s="4" t="s">
        <v>6</v>
      </c>
      <c r="M3" s="3" t="str">
        <f>抽奖道具</f>
        <v>制作券</v>
      </c>
      <c r="N3" s="4" t="s">
        <v>6</v>
      </c>
      <c r="O3" s="3" t="str">
        <f>抽奖道具</f>
        <v>制作券</v>
      </c>
      <c r="P3" s="4" t="s">
        <v>6</v>
      </c>
    </row>
    <row r="4" spans="2:16" ht="16.2" thickTop="1">
      <c r="B4" s="69" t="s">
        <v>55</v>
      </c>
      <c r="C4" s="3">
        <v>5</v>
      </c>
      <c r="D4" s="4">
        <f t="shared" ref="D4:P12" si="0">C4*积分规则1</f>
        <v>50</v>
      </c>
      <c r="E4" s="3"/>
      <c r="F4" s="4">
        <f t="shared" ref="F4:F12" si="1">E4*积分规则1</f>
        <v>0</v>
      </c>
      <c r="G4" s="3"/>
      <c r="H4" s="4">
        <f t="shared" ref="H4:H12" si="2">G4*积分规则1</f>
        <v>0</v>
      </c>
      <c r="I4" s="3"/>
      <c r="J4" s="4">
        <f t="shared" ref="J4:J12" si="3">I4*积分规则1</f>
        <v>0</v>
      </c>
      <c r="K4" s="3"/>
      <c r="L4" s="4">
        <f t="shared" ref="L4:L12" si="4">K4*积分规则1</f>
        <v>0</v>
      </c>
      <c r="M4" s="3"/>
      <c r="N4" s="4">
        <f t="shared" ref="N4:N12" si="5">M4*积分规则1</f>
        <v>0</v>
      </c>
      <c r="O4" s="3"/>
      <c r="P4" s="4">
        <f t="shared" ref="P4:P12" si="6">O4*积分规则1</f>
        <v>0</v>
      </c>
    </row>
    <row r="5" spans="2:16">
      <c r="B5" s="15" t="s">
        <v>32</v>
      </c>
      <c r="C5" s="3">
        <v>125</v>
      </c>
      <c r="D5" s="4">
        <f t="shared" si="0"/>
        <v>1250</v>
      </c>
      <c r="E5" s="3">
        <v>125</v>
      </c>
      <c r="F5" s="4">
        <f t="shared" si="1"/>
        <v>1250</v>
      </c>
      <c r="G5" s="3">
        <v>125</v>
      </c>
      <c r="H5" s="4">
        <f t="shared" si="2"/>
        <v>1250</v>
      </c>
      <c r="I5" s="3">
        <v>125</v>
      </c>
      <c r="J5" s="4">
        <f t="shared" si="3"/>
        <v>1250</v>
      </c>
      <c r="K5" s="3">
        <v>125</v>
      </c>
      <c r="L5" s="4">
        <f t="shared" si="4"/>
        <v>1250</v>
      </c>
      <c r="M5" s="3">
        <v>125</v>
      </c>
      <c r="N5" s="4">
        <f t="shared" si="5"/>
        <v>1250</v>
      </c>
      <c r="O5" s="3">
        <v>125</v>
      </c>
      <c r="P5" s="4">
        <f t="shared" si="6"/>
        <v>1250</v>
      </c>
    </row>
    <row r="6" spans="2:16">
      <c r="B6" s="16" t="s">
        <v>17</v>
      </c>
      <c r="C6" s="3">
        <v>120</v>
      </c>
      <c r="D6" s="4">
        <f t="shared" si="0"/>
        <v>1200</v>
      </c>
      <c r="E6" s="3">
        <v>120</v>
      </c>
      <c r="F6" s="4">
        <f t="shared" si="1"/>
        <v>1200</v>
      </c>
      <c r="G6" s="3">
        <v>120</v>
      </c>
      <c r="H6" s="4">
        <f t="shared" si="2"/>
        <v>1200</v>
      </c>
      <c r="I6" s="3">
        <v>120</v>
      </c>
      <c r="J6" s="4">
        <f t="shared" si="3"/>
        <v>1200</v>
      </c>
      <c r="K6" s="3">
        <v>120</v>
      </c>
      <c r="L6" s="4">
        <f t="shared" si="4"/>
        <v>1200</v>
      </c>
      <c r="M6" s="3">
        <v>120</v>
      </c>
      <c r="N6" s="4">
        <f t="shared" si="5"/>
        <v>1200</v>
      </c>
      <c r="O6" s="3">
        <v>120</v>
      </c>
      <c r="P6" s="4">
        <f t="shared" si="6"/>
        <v>1200</v>
      </c>
    </row>
    <row r="7" spans="2:16">
      <c r="B7" s="96" t="s">
        <v>51</v>
      </c>
      <c r="C7" s="3"/>
      <c r="D7" s="4">
        <f t="shared" si="0"/>
        <v>0</v>
      </c>
      <c r="E7" s="3"/>
      <c r="F7" s="4">
        <f t="shared" si="1"/>
        <v>0</v>
      </c>
      <c r="G7" s="3"/>
      <c r="H7" s="4">
        <f t="shared" si="2"/>
        <v>0</v>
      </c>
      <c r="I7" s="3"/>
      <c r="J7" s="4">
        <f t="shared" si="3"/>
        <v>0</v>
      </c>
      <c r="K7" s="3">
        <v>0</v>
      </c>
      <c r="L7" s="4">
        <f t="shared" si="4"/>
        <v>0</v>
      </c>
      <c r="M7" s="3">
        <v>0</v>
      </c>
      <c r="N7" s="4">
        <f t="shared" si="5"/>
        <v>0</v>
      </c>
      <c r="O7" s="3">
        <v>125</v>
      </c>
      <c r="P7" s="4">
        <f t="shared" si="6"/>
        <v>1250</v>
      </c>
    </row>
    <row r="8" spans="2:16">
      <c r="B8" s="15" t="s">
        <v>52</v>
      </c>
      <c r="C8" s="3"/>
      <c r="D8" s="4">
        <f t="shared" si="0"/>
        <v>0</v>
      </c>
      <c r="E8" s="3"/>
      <c r="F8" s="4">
        <f t="shared" si="1"/>
        <v>0</v>
      </c>
      <c r="G8" s="3"/>
      <c r="H8" s="4">
        <f t="shared" si="2"/>
        <v>0</v>
      </c>
      <c r="I8" s="3"/>
      <c r="J8" s="4">
        <f t="shared" si="3"/>
        <v>0</v>
      </c>
      <c r="K8" s="3"/>
      <c r="L8" s="4">
        <f t="shared" si="4"/>
        <v>0</v>
      </c>
      <c r="M8" s="3"/>
      <c r="N8" s="4">
        <f t="shared" si="5"/>
        <v>0</v>
      </c>
      <c r="O8" s="3"/>
      <c r="P8" s="4">
        <f t="shared" si="6"/>
        <v>0</v>
      </c>
    </row>
    <row r="9" spans="2:16">
      <c r="B9" s="15" t="s">
        <v>64</v>
      </c>
      <c r="C9" s="3">
        <v>0</v>
      </c>
      <c r="D9" s="4">
        <f t="shared" si="0"/>
        <v>0</v>
      </c>
      <c r="E9" s="3">
        <v>0</v>
      </c>
      <c r="F9" s="4">
        <f t="shared" si="0"/>
        <v>0</v>
      </c>
      <c r="G9" s="3">
        <v>0</v>
      </c>
      <c r="H9" s="4">
        <f t="shared" si="0"/>
        <v>0</v>
      </c>
      <c r="I9" s="3">
        <v>0</v>
      </c>
      <c r="J9" s="4">
        <f t="shared" si="0"/>
        <v>0</v>
      </c>
      <c r="K9" s="3">
        <v>0</v>
      </c>
      <c r="L9" s="4">
        <f t="shared" si="0"/>
        <v>0</v>
      </c>
      <c r="M9" s="3">
        <v>0</v>
      </c>
      <c r="N9" s="4">
        <f t="shared" si="0"/>
        <v>0</v>
      </c>
      <c r="O9" s="3">
        <v>0</v>
      </c>
      <c r="P9" s="4">
        <f t="shared" si="0"/>
        <v>0</v>
      </c>
    </row>
    <row r="10" spans="2:16" ht="16.2" thickBot="1">
      <c r="B10" s="70" t="s">
        <v>50</v>
      </c>
      <c r="C10" s="3">
        <v>0</v>
      </c>
      <c r="D10" s="4">
        <f>C10*积分规则1</f>
        <v>0</v>
      </c>
      <c r="E10" s="3">
        <v>0</v>
      </c>
      <c r="F10" s="4">
        <f>E10*积分规则1</f>
        <v>0</v>
      </c>
      <c r="G10" s="3">
        <v>0</v>
      </c>
      <c r="H10" s="4">
        <f>G10*积分规则1</f>
        <v>0</v>
      </c>
      <c r="I10" s="3">
        <v>0</v>
      </c>
      <c r="J10" s="4">
        <f>I10*积分规则1</f>
        <v>0</v>
      </c>
      <c r="K10" s="3">
        <v>0</v>
      </c>
      <c r="L10" s="4">
        <f>K10*积分规则1</f>
        <v>0</v>
      </c>
      <c r="M10" s="3">
        <v>0</v>
      </c>
      <c r="N10" s="4">
        <f>M10*积分规则1</f>
        <v>0</v>
      </c>
      <c r="O10" s="3">
        <v>0</v>
      </c>
      <c r="P10" s="4">
        <f>O10*积分规则1</f>
        <v>0</v>
      </c>
    </row>
    <row r="11" spans="2:16" ht="16.2" thickTop="1">
      <c r="B11" s="71" t="s">
        <v>53</v>
      </c>
      <c r="C11" s="3"/>
      <c r="D11" s="4">
        <f t="shared" si="0"/>
        <v>0</v>
      </c>
      <c r="E11" s="3"/>
      <c r="F11" s="4">
        <f t="shared" si="1"/>
        <v>0</v>
      </c>
      <c r="G11" s="3"/>
      <c r="H11" s="4">
        <f t="shared" si="2"/>
        <v>0</v>
      </c>
      <c r="I11" s="3"/>
      <c r="J11" s="4">
        <f t="shared" si="3"/>
        <v>0</v>
      </c>
      <c r="K11" s="3"/>
      <c r="L11" s="4">
        <f t="shared" si="4"/>
        <v>0</v>
      </c>
      <c r="M11" s="3"/>
      <c r="N11" s="4">
        <f t="shared" si="5"/>
        <v>0</v>
      </c>
      <c r="O11" s="3"/>
      <c r="P11" s="4">
        <f t="shared" si="6"/>
        <v>0</v>
      </c>
    </row>
    <row r="12" spans="2:16" ht="16.2" thickBot="1">
      <c r="B12" s="72" t="s">
        <v>54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/>
      <c r="P12" s="4">
        <f t="shared" si="6"/>
        <v>0</v>
      </c>
    </row>
    <row r="13" spans="2:16" ht="16.2" thickTop="1">
      <c r="B13" s="80" t="str">
        <f>"使用"&amp;抽奖道具</f>
        <v>使用制作券</v>
      </c>
      <c r="C13" s="3">
        <v>0</v>
      </c>
      <c r="D13" s="4">
        <f>C13*积分规则3</f>
        <v>0</v>
      </c>
      <c r="E13" s="3">
        <v>167</v>
      </c>
      <c r="F13" s="4">
        <f>E13*积分规则3</f>
        <v>50.100000000000009</v>
      </c>
      <c r="G13" s="3">
        <v>167</v>
      </c>
      <c r="H13" s="4">
        <f>G13*积分规则3</f>
        <v>50.100000000000009</v>
      </c>
      <c r="I13" s="3">
        <v>167</v>
      </c>
      <c r="J13" s="4">
        <f>I13*积分规则3</f>
        <v>50.100000000000009</v>
      </c>
      <c r="K13" s="3">
        <v>167</v>
      </c>
      <c r="L13" s="4">
        <f>K13*积分规则3</f>
        <v>50.100000000000009</v>
      </c>
      <c r="M13" s="3">
        <v>167</v>
      </c>
      <c r="N13" s="4">
        <f>M13*积分规则3</f>
        <v>50.100000000000009</v>
      </c>
      <c r="O13" s="3">
        <v>1010</v>
      </c>
      <c r="P13" s="4">
        <f>O13*积分规则3</f>
        <v>303.00000000000006</v>
      </c>
    </row>
    <row r="14" spans="2:16" ht="16.2" thickBot="1">
      <c r="B14" s="73" t="str">
        <f>"剩余"&amp;抽奖道具</f>
        <v>剩余制作券</v>
      </c>
      <c r="C14" s="3">
        <f>C22-C13</f>
        <v>250</v>
      </c>
      <c r="D14" s="4"/>
      <c r="E14" s="3">
        <f>C14+SUM(E4:E12)-E13</f>
        <v>328</v>
      </c>
      <c r="F14" s="4"/>
      <c r="G14" s="3">
        <f>E14+SUM(G4:G12)-G13</f>
        <v>406</v>
      </c>
      <c r="H14" s="4"/>
      <c r="I14" s="3">
        <f>G14+SUM(I4:I12)-I13</f>
        <v>484</v>
      </c>
      <c r="J14" s="4"/>
      <c r="K14" s="3">
        <f>I14+SUM(K4:K12)-K13</f>
        <v>562</v>
      </c>
      <c r="L14" s="4"/>
      <c r="M14" s="3">
        <f>K14+SUM(M4:M12)-M13</f>
        <v>640</v>
      </c>
      <c r="N14" s="4"/>
      <c r="O14" s="3">
        <f>M14+SUM(O4:O12)-O13</f>
        <v>0</v>
      </c>
      <c r="P14" s="4"/>
    </row>
    <row r="15" spans="2:16" ht="16.2" thickTop="1">
      <c r="B15" s="74" t="s">
        <v>33</v>
      </c>
      <c r="C15" s="3">
        <v>0</v>
      </c>
      <c r="D15" s="4">
        <f>C15*随机箱积分</f>
        <v>0</v>
      </c>
      <c r="E15" s="3">
        <v>0</v>
      </c>
      <c r="F15" s="4">
        <f>E15*随机箱积分</f>
        <v>0</v>
      </c>
      <c r="G15" s="3">
        <v>0</v>
      </c>
      <c r="H15" s="4">
        <f>G15*随机箱积分</f>
        <v>0</v>
      </c>
      <c r="I15" s="3">
        <v>0</v>
      </c>
      <c r="J15" s="4">
        <f>I15*随机箱积分</f>
        <v>0</v>
      </c>
      <c r="K15" s="3">
        <v>0</v>
      </c>
      <c r="L15" s="4">
        <f>K15*随机箱积分</f>
        <v>0</v>
      </c>
      <c r="M15" s="3">
        <v>0</v>
      </c>
      <c r="N15" s="4">
        <f>M15*随机箱积分</f>
        <v>0</v>
      </c>
      <c r="O15" s="3">
        <v>32</v>
      </c>
      <c r="P15" s="79">
        <f>O15*随机箱积分</f>
        <v>328.15999999999997</v>
      </c>
    </row>
    <row r="16" spans="2:16" ht="16.2" thickBot="1">
      <c r="B16" s="73" t="s">
        <v>34</v>
      </c>
      <c r="C16" s="3">
        <f>C23-SUM(C15)</f>
        <v>3</v>
      </c>
      <c r="D16" s="4"/>
      <c r="E16" s="3">
        <f>E23-SUM(C15,E15)</f>
        <v>6</v>
      </c>
      <c r="F16" s="4"/>
      <c r="G16" s="3">
        <f>G23-SUM(C15,E15,G15)</f>
        <v>9</v>
      </c>
      <c r="H16" s="4"/>
      <c r="I16" s="3">
        <f>I23-SUM(C15,E15,G15,I15)</f>
        <v>12</v>
      </c>
      <c r="J16" s="4"/>
      <c r="K16" s="3">
        <f>K23-SUM(C15,E15,G15,I15,K15)</f>
        <v>15</v>
      </c>
      <c r="L16" s="4"/>
      <c r="M16" s="3">
        <f>M23-SUM(C15,E15,G15,I15,K15,M15)</f>
        <v>18</v>
      </c>
      <c r="N16" s="4"/>
      <c r="O16" s="3">
        <f>O23-SUM(C15,E15,G15,I15,K15,M15,O15)</f>
        <v>0</v>
      </c>
      <c r="P16" s="4"/>
    </row>
    <row r="17" spans="2:16" ht="16.2" thickTop="1">
      <c r="B17" s="75" t="str">
        <f>"商店换"&amp;高级兑换道具</f>
        <v>商店换高级卷轴</v>
      </c>
      <c r="C17" s="3">
        <v>0</v>
      </c>
      <c r="D17" s="4">
        <f>C17*积分规则2</f>
        <v>0</v>
      </c>
      <c r="E17" s="3">
        <v>0</v>
      </c>
      <c r="F17" s="4">
        <f>E17*积分规则2</f>
        <v>0</v>
      </c>
      <c r="G17" s="3">
        <v>0</v>
      </c>
      <c r="H17" s="4">
        <f>G17*积分规则2</f>
        <v>0</v>
      </c>
      <c r="I17" s="3">
        <v>0</v>
      </c>
      <c r="J17" s="4">
        <f>I17*积分规则2</f>
        <v>0</v>
      </c>
      <c r="K17" s="3">
        <v>0</v>
      </c>
      <c r="L17" s="4">
        <f>K17*积分规则2</f>
        <v>0</v>
      </c>
      <c r="M17" s="3">
        <v>0</v>
      </c>
      <c r="N17" s="4">
        <f>M17*积分规则2</f>
        <v>0</v>
      </c>
      <c r="O17" s="3">
        <v>20</v>
      </c>
      <c r="P17" s="4">
        <f>O17*积分规则2</f>
        <v>20</v>
      </c>
    </row>
    <row r="18" spans="2:16">
      <c r="B18" s="15" t="s">
        <v>56</v>
      </c>
      <c r="C18" s="3"/>
      <c r="D18" s="4"/>
      <c r="E18" s="3"/>
      <c r="F18" s="4"/>
      <c r="G18" s="3"/>
      <c r="H18" s="4"/>
      <c r="I18" s="3"/>
      <c r="J18" s="4"/>
      <c r="K18" s="3"/>
      <c r="L18" s="4"/>
      <c r="M18" s="3"/>
      <c r="N18" s="4"/>
      <c r="O18" s="3"/>
      <c r="P18" s="4"/>
    </row>
    <row r="19" spans="2:16" ht="16.2" thickBot="1">
      <c r="B19" s="15" t="s">
        <v>56</v>
      </c>
      <c r="C19" s="3"/>
      <c r="D19" s="4"/>
      <c r="E19" s="3"/>
      <c r="F19" s="4"/>
      <c r="G19" s="3"/>
      <c r="H19" s="4"/>
      <c r="I19" s="3"/>
      <c r="J19" s="4"/>
      <c r="K19" s="3"/>
      <c r="L19" s="4"/>
      <c r="M19" s="3"/>
      <c r="N19" s="4"/>
      <c r="O19" s="3"/>
      <c r="P19" s="4"/>
    </row>
    <row r="20" spans="2:16" ht="16.8" thickTop="1" thickBot="1">
      <c r="B20" s="82" t="s">
        <v>58</v>
      </c>
      <c r="C20" s="83" t="str">
        <f>IFERROR(LOOKUP(D20,档位积分1:档位积分5,第1档:第5档),"无奖励")</f>
        <v>第2档</v>
      </c>
      <c r="D20" s="84">
        <f>SUM(D4:D13)+D15+SUM(D17:D19)</f>
        <v>2500</v>
      </c>
      <c r="E20" s="85" t="str">
        <f>IFERROR(LOOKUP(F20,档位积分1:档位积分5,第1档:第5档),"无奖励")</f>
        <v>第2档</v>
      </c>
      <c r="F20" s="84">
        <f>SUM(F4:F13)+F15+SUM(F17:F19)</f>
        <v>2500.1</v>
      </c>
      <c r="G20" s="85" t="str">
        <f>IFERROR(LOOKUP(H20,档位积分1:档位积分5,第1档:第5档),"无奖励")</f>
        <v>第2档</v>
      </c>
      <c r="H20" s="84">
        <f>SUM(H4:H13)+H15+SUM(H17:H19)</f>
        <v>2500.1</v>
      </c>
      <c r="I20" s="85" t="str">
        <f>IFERROR(LOOKUP(J20,档位积分1:档位积分5,第1档:第5档),"无奖励")</f>
        <v>第2档</v>
      </c>
      <c r="J20" s="84">
        <f>SUM(J4:J13)+J15+SUM(J17:J19)</f>
        <v>2500.1</v>
      </c>
      <c r="K20" s="85" t="str">
        <f>IFERROR(LOOKUP(L20,档位积分1:档位积分5,第1档:第5档),"无奖励")</f>
        <v>第2档</v>
      </c>
      <c r="L20" s="84">
        <f>SUM(L4:L13)+L15+SUM(L17:L19)</f>
        <v>2500.1</v>
      </c>
      <c r="M20" s="85" t="str">
        <f>IFERROR(LOOKUP(N20,档位积分1:档位积分5,第1档:第5档),"无奖励")</f>
        <v>第2档</v>
      </c>
      <c r="N20" s="84">
        <f>SUM(N4:N13)+N15+SUM(N17:N19)</f>
        <v>2500.1</v>
      </c>
      <c r="O20" s="85" t="str">
        <f>IFERROR(LOOKUP(P20,档位积分1:档位积分5,第1档:第5档),"无奖励")</f>
        <v>第3档</v>
      </c>
      <c r="P20" s="84">
        <f>SUM(P4:P13)+P15+SUM(P17:P19)</f>
        <v>4351.16</v>
      </c>
    </row>
    <row r="21" spans="2:16" ht="16.8" thickTop="1" thickBot="1">
      <c r="B21" s="69" t="s">
        <v>63</v>
      </c>
      <c r="C21" s="67" t="str">
        <f>IF(D20&gt;=MAX(档位积分1:档位积分5), "已是最高档",
   IF(D20&lt;MIN(档位积分1:档位积分5), INDEX(第1档:第5档, 1),
      INDEX(第1档:第5档, MATCH(D20, 档位积分1:档位积分5, 1)+1)))</f>
        <v>第3档</v>
      </c>
      <c r="D21" s="95">
        <f>IF(D20&gt;=MAX(档位积分1:档位积分5), "",
   IF(D20&lt;MIN(档位积分1:档位积分5), MIN(档位积分1:档位积分5),
      INDEX(档位积分1:档位积分5, MATCH(D20, 档位积分1:档位积分5, 1)+1)))</f>
        <v>3800</v>
      </c>
      <c r="E21" s="67" t="str">
        <f>IF(F20&gt;=MAX(档位积分1:档位积分5), "已是最高档",
   IF(F20&lt;MIN(档位积分1:档位积分5), INDEX(第1档:第5档, 1),
      INDEX(第1档:第5档, MATCH(F20, 档位积分1:档位积分5, 1)+1)))</f>
        <v>第3档</v>
      </c>
      <c r="F21" s="95">
        <f>IF(F20&gt;=MAX(档位积分1:档位积分5), "",
   IF(F20&lt;MIN(档位积分1:档位积分5), MIN(档位积分1:档位积分5),
      INDEX(档位积分1:档位积分5, MATCH(F20, 档位积分1:档位积分5, 1)+1)))</f>
        <v>3800</v>
      </c>
      <c r="G21" s="67" t="str">
        <f>IF(H20&gt;=MAX(档位积分1:档位积分5), "已是最高档",
   IF(H20&lt;MIN(档位积分1:档位积分5), INDEX(第1档:第5档, 1),
      INDEX(第1档:第5档, MATCH(H20, 档位积分1:档位积分5, 1)+1)))</f>
        <v>第3档</v>
      </c>
      <c r="H21" s="95">
        <f>IF(H20&gt;=MAX(档位积分1:档位积分5), "",
   IF(H20&lt;MIN(档位积分1:档位积分5), MIN(档位积分1:档位积分5),
      INDEX(档位积分1:档位积分5, MATCH(H20, 档位积分1:档位积分5, 1)+1)))</f>
        <v>3800</v>
      </c>
      <c r="I21" s="67" t="str">
        <f>IF(J20&gt;=MAX(档位积分1:档位积分5), "已是最高档",
   IF(J20&lt;MIN(档位积分1:档位积分5), INDEX(第1档:第5档, 1),
      INDEX(第1档:第5档, MATCH(J20, 档位积分1:档位积分5, 1)+1)))</f>
        <v>第3档</v>
      </c>
      <c r="J21" s="95">
        <f>IF(J20&gt;=MAX(档位积分1:档位积分5), "",
   IF(J20&lt;MIN(档位积分1:档位积分5), MIN(档位积分1:档位积分5),
      INDEX(档位积分1:档位积分5, MATCH(J20, 档位积分1:档位积分5, 1)+1)))</f>
        <v>3800</v>
      </c>
      <c r="K21" s="67" t="str">
        <f>IF(L20&gt;=MAX(档位积分1:档位积分5), "已是最高档",
   IF(L20&lt;MIN(档位积分1:档位积分5), INDEX(第1档:第5档, 1),
      INDEX(第1档:第5档, MATCH(L20, 档位积分1:档位积分5, 1)+1)))</f>
        <v>第3档</v>
      </c>
      <c r="L21" s="95">
        <f>IF(L20&gt;=MAX(档位积分1:档位积分5), "",
   IF(L20&lt;MIN(档位积分1:档位积分5), MIN(档位积分1:档位积分5),
      INDEX(档位积分1:档位积分5, MATCH(L20, 档位积分1:档位积分5, 1)+1)))</f>
        <v>3800</v>
      </c>
      <c r="M21" s="67" t="str">
        <f>IF(N20&gt;=MAX(档位积分1:档位积分5), "已是最高档",
   IF(N20&lt;MIN(档位积分1:档位积分5), INDEX(第1档:第5档, 1),
      INDEX(第1档:第5档, MATCH(N20, 档位积分1:档位积分5, 1)+1)))</f>
        <v>第3档</v>
      </c>
      <c r="N21" s="95">
        <f>IF(N20&gt;=MAX(档位积分1:档位积分5), "",
   IF(N20&lt;MIN(档位积分1:档位积分5), MIN(档位积分1:档位积分5),
      INDEX(档位积分1:档位积分5, MATCH(N20, 档位积分1:档位积分5, 1)+1)))</f>
        <v>3800</v>
      </c>
      <c r="O21" s="67" t="str">
        <f>IF(P20&gt;=MAX(档位积分1:档位积分5), "已是最高档",
   IF(P20&lt;MIN(档位积分1:档位积分5), INDEX(第1档:第5档, 1),
      INDEX(第1档:第5档, MATCH(P20, 档位积分1:档位积分5, 1)+1)))</f>
        <v>第4档</v>
      </c>
      <c r="P21" s="95">
        <f>IF(P20&gt;=MAX(档位积分1:档位积分5), "",
   IF(P20&lt;MIN(档位积分1:档位积分5), MIN(档位积分1:档位积分5),
      INDEX(档位积分1:档位积分5, MATCH(P20, 档位积分1:档位积分5, 1)+1)))</f>
        <v>9100</v>
      </c>
    </row>
    <row r="22" spans="2:16" ht="16.2" thickTop="1">
      <c r="B22" s="81" t="str">
        <f>"总"&amp;抽奖道具</f>
        <v>总制作券</v>
      </c>
      <c r="C22" s="67">
        <f>SUM(C4:C12)</f>
        <v>250</v>
      </c>
      <c r="D22" s="68">
        <f>C13*实测高级兑换道具数量*积分规则2</f>
        <v>0</v>
      </c>
      <c r="E22" s="67">
        <f>C22+SUM(E4:E12)</f>
        <v>495</v>
      </c>
      <c r="F22" s="68">
        <v>0</v>
      </c>
      <c r="G22" s="67">
        <f>E22+SUM(G4:G12)</f>
        <v>740</v>
      </c>
      <c r="H22" s="68">
        <v>0</v>
      </c>
      <c r="I22" s="67">
        <f>G22+SUM(I4:I12)</f>
        <v>985</v>
      </c>
      <c r="J22" s="68">
        <v>0</v>
      </c>
      <c r="K22" s="67">
        <f>I22+SUM(K4:K12)</f>
        <v>1230</v>
      </c>
      <c r="L22" s="68">
        <v>0</v>
      </c>
      <c r="M22" s="67">
        <f>K22+SUM(M4:M12)</f>
        <v>1475</v>
      </c>
      <c r="N22" s="68">
        <v>0</v>
      </c>
      <c r="O22" s="67">
        <f>M22+SUM(O4:O12)</f>
        <v>1845</v>
      </c>
      <c r="P22" s="68">
        <v>0</v>
      </c>
    </row>
    <row r="23" spans="2:16" ht="16.2" thickBot="1">
      <c r="B23" s="66" t="s">
        <v>57</v>
      </c>
      <c r="C23" s="5">
        <f>IFERROR(LOOKUP(D20,档位积分1:档位积分5,档位奖励1:档位奖励5),0)</f>
        <v>3</v>
      </c>
      <c r="D23" s="13">
        <f>C23*随机箱积分</f>
        <v>30.764999999999997</v>
      </c>
      <c r="E23" s="5">
        <f>IFERROR(LOOKUP(F20,档位积分1:档位积分5,档位奖励1:档位奖励5),0)+C23</f>
        <v>6</v>
      </c>
      <c r="F23" s="13">
        <f>E23*随机箱积分</f>
        <v>61.529999999999994</v>
      </c>
      <c r="G23" s="5">
        <f>IFERROR(LOOKUP(H20,档位积分1:档位积分5,档位奖励1:档位奖励5),0)+E23</f>
        <v>9</v>
      </c>
      <c r="H23" s="13">
        <f>G23*随机箱积分</f>
        <v>92.294999999999987</v>
      </c>
      <c r="I23" s="5">
        <f>IFERROR(LOOKUP(J20,档位积分1:档位积分5,档位奖励1:档位奖励5),0)+G23</f>
        <v>12</v>
      </c>
      <c r="J23" s="13">
        <f>I23*随机箱积分</f>
        <v>123.05999999999999</v>
      </c>
      <c r="K23" s="5">
        <f>IFERROR(LOOKUP(L20,档位积分1:档位积分5,档位奖励1:档位奖励5),0)+I23</f>
        <v>15</v>
      </c>
      <c r="L23" s="13">
        <f>K23*随机箱积分</f>
        <v>153.82499999999999</v>
      </c>
      <c r="M23" s="5">
        <f>IFERROR(LOOKUP(N20,档位积分1:档位积分5,档位奖励1:档位奖励5),0)+K23</f>
        <v>18</v>
      </c>
      <c r="N23" s="13">
        <f>M23*随机箱积分</f>
        <v>184.58999999999997</v>
      </c>
      <c r="O23" s="5">
        <f>IFERROR(LOOKUP(P20,档位积分1:档位积分5,档位奖励1:档位奖励5),0)+M23</f>
        <v>32</v>
      </c>
      <c r="P23" s="13">
        <f>O23*随机箱积分</f>
        <v>328.15999999999997</v>
      </c>
    </row>
    <row r="24" spans="2:16" ht="16.2" thickTop="1">
      <c r="B24" s="69" t="str">
        <f>普通兑换道具</f>
        <v>普通卷轴</v>
      </c>
      <c r="C24" s="86">
        <f>C13*普通兑换道具数量</f>
        <v>0</v>
      </c>
      <c r="D24" s="68"/>
      <c r="E24" s="86">
        <f>E13*普通兑换道具数量+C24</f>
        <v>1962.25</v>
      </c>
      <c r="F24" s="87"/>
      <c r="G24" s="86">
        <f>G13*普通兑换道具数量+E24</f>
        <v>3924.5</v>
      </c>
      <c r="H24" s="87"/>
      <c r="I24" s="86">
        <f>I13*普通兑换道具数量+G24</f>
        <v>5886.75</v>
      </c>
      <c r="J24" s="87"/>
      <c r="K24" s="86">
        <f>K13*普通兑换道具数量+I24</f>
        <v>7849</v>
      </c>
      <c r="L24" s="87"/>
      <c r="M24" s="86">
        <f>M13*普通兑换道具数量+K24</f>
        <v>9811.25</v>
      </c>
      <c r="N24" s="87"/>
      <c r="O24" s="86">
        <f>O13*普通兑换道具数量+M24-O17*24</f>
        <v>21198.75</v>
      </c>
      <c r="P24" s="68"/>
    </row>
    <row r="25" spans="2:16" ht="16.2" thickBot="1">
      <c r="B25" s="70" t="str">
        <f>高级兑换道具</f>
        <v>高级卷轴</v>
      </c>
      <c r="C25" s="88">
        <f>C13*高级兑换道具数量+C15*随机箱高级道具</f>
        <v>0</v>
      </c>
      <c r="D25" s="13"/>
      <c r="E25" s="88">
        <f>E13*高级兑换道具数量+E15*随机箱高级道具+C25</f>
        <v>50.100000000000009</v>
      </c>
      <c r="F25" s="89"/>
      <c r="G25" s="88">
        <f>G13*高级兑换道具数量+G15*随机箱高级道具+E25</f>
        <v>100.20000000000002</v>
      </c>
      <c r="H25" s="89"/>
      <c r="I25" s="88">
        <f>I13*高级兑换道具数量+I15*随机箱高级道具+G25</f>
        <v>150.30000000000001</v>
      </c>
      <c r="J25" s="89"/>
      <c r="K25" s="88">
        <f>K13*高级兑换道具数量+K15*随机箱高级道具+I25</f>
        <v>200.40000000000003</v>
      </c>
      <c r="L25" s="89"/>
      <c r="M25" s="88">
        <f>M13*高级兑换道具数量+M15*随机箱高级道具+K25</f>
        <v>250.50000000000006</v>
      </c>
      <c r="N25" s="89"/>
      <c r="O25" s="88">
        <f>O13*高级兑换道具数量+O15*随机箱高级道具+M25+O17</f>
        <v>901.66000000000008</v>
      </c>
      <c r="P25" s="13"/>
    </row>
    <row r="26" spans="2:16" ht="16.2" thickTop="1">
      <c r="B26" s="172" t="s">
        <v>48</v>
      </c>
      <c r="C26" s="20">
        <v>0</v>
      </c>
      <c r="D26" s="21">
        <v>0</v>
      </c>
      <c r="E26" s="20">
        <v>0</v>
      </c>
      <c r="F26" s="21">
        <v>0</v>
      </c>
      <c r="G26" s="20">
        <v>0</v>
      </c>
      <c r="H26" s="21">
        <v>0</v>
      </c>
      <c r="I26" s="20">
        <v>0</v>
      </c>
      <c r="J26" s="21">
        <v>0</v>
      </c>
      <c r="K26" s="20">
        <v>0</v>
      </c>
      <c r="L26" s="21">
        <v>0</v>
      </c>
      <c r="M26" s="20">
        <v>0</v>
      </c>
      <c r="N26" s="21">
        <v>0</v>
      </c>
      <c r="O26" s="20">
        <v>0</v>
      </c>
      <c r="P26" s="21">
        <v>0</v>
      </c>
    </row>
    <row r="27" spans="2:16">
      <c r="B27" s="173"/>
      <c r="C27" s="76">
        <v>0</v>
      </c>
      <c r="D27" s="26">
        <v>0</v>
      </c>
      <c r="E27" s="76">
        <v>0</v>
      </c>
      <c r="F27" s="26">
        <v>0</v>
      </c>
      <c r="G27" s="76">
        <v>0</v>
      </c>
      <c r="H27" s="26">
        <v>0</v>
      </c>
      <c r="I27" s="76">
        <v>0</v>
      </c>
      <c r="J27" s="26">
        <v>0</v>
      </c>
      <c r="K27" s="76">
        <v>0</v>
      </c>
      <c r="L27" s="26">
        <v>0</v>
      </c>
      <c r="M27" s="76">
        <v>0</v>
      </c>
      <c r="N27" s="26">
        <v>0</v>
      </c>
      <c r="O27" s="76">
        <v>0</v>
      </c>
      <c r="P27" s="26">
        <v>0</v>
      </c>
    </row>
    <row r="28" spans="2:16" ht="16.2" thickBot="1">
      <c r="B28" s="174"/>
      <c r="C28" s="77"/>
      <c r="D28" s="78"/>
      <c r="E28" s="77"/>
      <c r="F28" s="78"/>
      <c r="G28" s="77"/>
      <c r="H28" s="78"/>
      <c r="I28" s="77"/>
      <c r="J28" s="78"/>
      <c r="K28" s="77"/>
      <c r="L28" s="78"/>
      <c r="M28" s="77"/>
      <c r="N28" s="78"/>
      <c r="O28" s="77"/>
      <c r="P28" s="78"/>
    </row>
    <row r="29" spans="2:16" ht="16.2" thickTop="1">
      <c r="B29" s="173" t="s">
        <v>49</v>
      </c>
      <c r="C29" s="20">
        <f>IFERROR(LOOKUP(C26,价格6:价格648,翡翠100:翡翠10000),0)</f>
        <v>0</v>
      </c>
      <c r="D29" s="21">
        <f>IFERROR(LOOKUP(D26,价格6:价格648,翡翠100:翡翠10000),0)</f>
        <v>0</v>
      </c>
      <c r="E29" s="20">
        <f>IFERROR(LOOKUP(E26,价格6:价格648,翡翠100:翡翠10000),0)</f>
        <v>0</v>
      </c>
      <c r="F29" s="21">
        <f>IFERROR(LOOKUP(F26,价格6:价格648,翡翠100:翡翠10000),0)</f>
        <v>0</v>
      </c>
      <c r="G29" s="20">
        <f>IFERROR(LOOKUP(G26,价格6:价格648,翡翠100:翡翠10000),0)</f>
        <v>0</v>
      </c>
      <c r="H29" s="21">
        <f>IFERROR(LOOKUP(H26,价格6:价格648,翡翠100:翡翠10000),0)</f>
        <v>0</v>
      </c>
      <c r="I29" s="20">
        <f>IFERROR(LOOKUP(I26,价格6:价格648,翡翠100:翡翠10000),0)</f>
        <v>0</v>
      </c>
      <c r="J29" s="21">
        <f>IFERROR(LOOKUP(J26,价格6:价格648,翡翠100:翡翠10000),0)</f>
        <v>0</v>
      </c>
      <c r="K29" s="20">
        <f>IFERROR(LOOKUP(K26,价格6:价格648,翡翠100:翡翠10000),0)</f>
        <v>0</v>
      </c>
      <c r="L29" s="21">
        <f>IFERROR(LOOKUP(L26,价格6:价格648,翡翠100:翡翠10000),0)</f>
        <v>0</v>
      </c>
      <c r="M29" s="20">
        <f>IFERROR(LOOKUP(M26,价格6:价格648,翡翠100:翡翠10000),0)</f>
        <v>0</v>
      </c>
      <c r="N29" s="21">
        <f>IFERROR(LOOKUP(N26,价格6:价格648,翡翠100:翡翠10000),0)</f>
        <v>0</v>
      </c>
      <c r="O29" s="20">
        <f>IFERROR(LOOKUP(O26,价格6:价格648,翡翠100:翡翠10000),0)</f>
        <v>0</v>
      </c>
      <c r="P29" s="21">
        <f>IFERROR(LOOKUP(P26,价格6:价格648,翡翠100:翡翠10000),0)</f>
        <v>0</v>
      </c>
    </row>
    <row r="30" spans="2:16">
      <c r="B30" s="173"/>
      <c r="C30" s="76">
        <f>IFERROR(LOOKUP(C27,价格6:价格648,翡翠100:翡翠10000),0)</f>
        <v>0</v>
      </c>
      <c r="D30" s="26">
        <f>IFERROR(LOOKUP(D27,价格6:价格648,翡翠100:翡翠10000),0)</f>
        <v>0</v>
      </c>
      <c r="E30" s="76">
        <f>IFERROR(LOOKUP(E27,价格6:价格648,翡翠100:翡翠10000),0)</f>
        <v>0</v>
      </c>
      <c r="F30" s="26">
        <f>IFERROR(LOOKUP(F27,价格6:价格648,翡翠100:翡翠10000),0)</f>
        <v>0</v>
      </c>
      <c r="G30" s="76">
        <f>IFERROR(LOOKUP(G27,价格6:价格648,翡翠100:翡翠10000),0)</f>
        <v>0</v>
      </c>
      <c r="H30" s="26">
        <f>IFERROR(LOOKUP(H27,价格6:价格648,翡翠100:翡翠10000),0)</f>
        <v>0</v>
      </c>
      <c r="I30" s="76">
        <f>IFERROR(LOOKUP(I27,价格6:价格648,翡翠100:翡翠10000),0)</f>
        <v>0</v>
      </c>
      <c r="J30" s="26">
        <f>IFERROR(LOOKUP(J27,价格6:价格648,翡翠100:翡翠10000),0)</f>
        <v>0</v>
      </c>
      <c r="K30" s="76">
        <f>IFERROR(LOOKUP(K27,价格6:价格648,翡翠100:翡翠10000),0)</f>
        <v>0</v>
      </c>
      <c r="L30" s="26">
        <f>IFERROR(LOOKUP(L27,价格6:价格648,翡翠100:翡翠10000),0)</f>
        <v>0</v>
      </c>
      <c r="M30" s="76">
        <f>IFERROR(LOOKUP(M27,价格6:价格648,翡翠100:翡翠10000),0)</f>
        <v>0</v>
      </c>
      <c r="N30" s="26">
        <f>IFERROR(LOOKUP(N27,价格6:价格648,翡翠100:翡翠10000),0)</f>
        <v>0</v>
      </c>
      <c r="O30" s="76">
        <f>IFERROR(LOOKUP(O27,价格6:价格648,翡翠100:翡翠10000),0)</f>
        <v>0</v>
      </c>
      <c r="P30" s="26">
        <v>0</v>
      </c>
    </row>
    <row r="31" spans="2:16" ht="16.2" thickBot="1">
      <c r="B31" s="174"/>
      <c r="C31" s="77"/>
      <c r="D31" s="78"/>
      <c r="E31" s="77"/>
      <c r="F31" s="78"/>
      <c r="G31" s="77"/>
      <c r="H31" s="78"/>
      <c r="I31" s="77"/>
      <c r="J31" s="78"/>
      <c r="K31" s="77"/>
      <c r="L31" s="78"/>
      <c r="M31" s="77"/>
      <c r="N31" s="78"/>
      <c r="O31" s="77"/>
      <c r="P31" s="78"/>
    </row>
    <row r="32" spans="2:16" ht="24.6" customHeight="1" thickTop="1">
      <c r="B32" s="173" t="s">
        <v>46</v>
      </c>
      <c r="C32" s="175" t="str">
        <f>SUM(C6,E6,G6,I6,K6,M6,O6)*钻石购买 &amp;"钻石"</f>
        <v>50400钻石</v>
      </c>
      <c r="D32" s="176"/>
      <c r="E32" s="176"/>
      <c r="F32" s="176"/>
      <c r="G32" s="176"/>
      <c r="H32" s="176"/>
      <c r="I32" s="181" t="str">
        <f>SUM(C26:P28) &amp;"元"</f>
        <v>0元</v>
      </c>
      <c r="J32" s="181"/>
      <c r="K32" s="181"/>
      <c r="L32" s="181"/>
      <c r="M32" s="166" t="str">
        <f>SUM(C29:P31) &amp; "翡翠"</f>
        <v>0翡翠</v>
      </c>
      <c r="N32" s="166"/>
      <c r="O32" s="166"/>
      <c r="P32" s="167"/>
    </row>
    <row r="33" spans="2:19" ht="22.8" thickBot="1">
      <c r="B33" s="174"/>
      <c r="C33" s="178" t="str">
        <f>"最终收益："&amp;ROUNDDOWN(O25,0)&amp;B25&amp;"+"&amp;ROUNDDOWN(O24,0)&amp;B24</f>
        <v>最终收益：901高级卷轴+21198普通卷轴</v>
      </c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80"/>
    </row>
    <row r="34" spans="2:19" ht="16.2" thickTop="1"/>
    <row r="38" spans="2:19" ht="38.4" customHeight="1"/>
    <row r="39" spans="2:19" ht="17.7" customHeight="1">
      <c r="B39" s="27"/>
      <c r="C39" s="27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2:19" ht="17.7" customHeight="1">
      <c r="B40" s="27"/>
      <c r="C40" s="6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2:19" ht="17.7" customHeight="1">
      <c r="B41" s="27"/>
      <c r="C41" s="59"/>
      <c r="D41" s="60"/>
      <c r="E41" s="60"/>
      <c r="F41" s="60"/>
      <c r="G41" s="60"/>
      <c r="H41" s="60"/>
      <c r="I41" s="60"/>
      <c r="J41" s="60"/>
      <c r="K41" s="10"/>
      <c r="L41" s="10"/>
      <c r="M41" s="10"/>
      <c r="N41" s="10"/>
      <c r="O41" s="10"/>
      <c r="P41" s="10"/>
    </row>
    <row r="42" spans="2:19" ht="17.7" customHeight="1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2:19">
      <c r="F43" s="177"/>
      <c r="G43" s="177"/>
      <c r="H43" s="177"/>
      <c r="I43" s="177"/>
      <c r="K43" s="170"/>
      <c r="L43" s="170"/>
      <c r="M43" s="170"/>
      <c r="N43" s="170"/>
      <c r="P43" s="170"/>
      <c r="Q43" s="170"/>
      <c r="R43" s="170"/>
      <c r="S43" s="170"/>
    </row>
    <row r="44" spans="2:19">
      <c r="K44" s="6"/>
      <c r="L44" s="6"/>
      <c r="M44" s="6"/>
      <c r="N44" s="6"/>
      <c r="P44" s="6"/>
      <c r="R44" s="6"/>
      <c r="S44" s="6"/>
    </row>
    <row r="45" spans="2:19">
      <c r="K45" s="6"/>
      <c r="L45" s="6"/>
      <c r="M45" s="6"/>
      <c r="N45" s="6"/>
      <c r="P45" s="6"/>
      <c r="R45" s="6"/>
      <c r="S45" s="6"/>
    </row>
    <row r="46" spans="2:19">
      <c r="K46" s="6"/>
      <c r="L46" s="6"/>
      <c r="M46" s="6"/>
      <c r="N46" s="6"/>
      <c r="P46" s="6"/>
      <c r="R46" s="6"/>
      <c r="S46" s="6"/>
    </row>
    <row r="47" spans="2:19">
      <c r="K47" s="6"/>
      <c r="L47" s="6"/>
      <c r="M47" s="6"/>
      <c r="N47" s="6"/>
      <c r="P47" s="25"/>
      <c r="R47" s="25"/>
      <c r="S47" s="6"/>
    </row>
    <row r="48" spans="2:19">
      <c r="G48" s="28"/>
      <c r="H48" s="28"/>
      <c r="I48" s="28"/>
      <c r="K48" s="6"/>
      <c r="M48" s="6"/>
      <c r="N48" s="6"/>
      <c r="O48" s="6"/>
      <c r="P48" s="6"/>
    </row>
    <row r="49" spans="2:16">
      <c r="F49" s="6"/>
      <c r="G49" s="6"/>
      <c r="H49" s="6"/>
      <c r="K49" s="6"/>
      <c r="M49" s="6"/>
      <c r="N49" s="6"/>
      <c r="O49" s="6"/>
      <c r="P49" s="6"/>
    </row>
    <row r="50" spans="2:16">
      <c r="B50" s="171"/>
      <c r="C50" s="171"/>
      <c r="D50" s="171"/>
      <c r="K50" s="170"/>
      <c r="L50" s="170"/>
      <c r="M50" s="170"/>
      <c r="N50" s="170"/>
    </row>
    <row r="51" spans="2:16">
      <c r="K51" s="6"/>
      <c r="M51" s="6"/>
      <c r="N51" s="6"/>
      <c r="P51" s="25"/>
    </row>
    <row r="52" spans="2:16">
      <c r="K52" s="6"/>
      <c r="M52" s="6"/>
      <c r="N52" s="6"/>
      <c r="P52" s="25"/>
    </row>
    <row r="53" spans="2:16">
      <c r="K53" s="6"/>
      <c r="M53" s="6"/>
      <c r="N53" s="6"/>
      <c r="P53" s="25"/>
    </row>
    <row r="54" spans="2:16">
      <c r="B54" s="171"/>
      <c r="C54" s="171"/>
      <c r="D54" s="171"/>
      <c r="K54" s="6"/>
      <c r="M54" s="6"/>
      <c r="N54" s="6"/>
      <c r="P54" s="25"/>
    </row>
    <row r="55" spans="2:16">
      <c r="K55" s="6"/>
      <c r="M55" s="6"/>
      <c r="N55" s="6"/>
      <c r="P55" s="25"/>
    </row>
    <row r="56" spans="2:16">
      <c r="K56" s="6"/>
      <c r="M56" s="6"/>
      <c r="N56" s="6"/>
      <c r="P56" s="25"/>
    </row>
    <row r="57" spans="2:16">
      <c r="K57" s="6"/>
      <c r="M57" s="6"/>
      <c r="N57" s="6"/>
      <c r="P57" s="25"/>
    </row>
    <row r="58" spans="2:16">
      <c r="K58" s="6"/>
      <c r="M58" s="6"/>
      <c r="N58" s="6"/>
      <c r="P58" s="25"/>
    </row>
    <row r="59" spans="2:16">
      <c r="P59" s="25"/>
    </row>
    <row r="60" spans="2:16">
      <c r="P60" s="25"/>
    </row>
    <row r="61" spans="2:16">
      <c r="P61" s="25"/>
    </row>
    <row r="62" spans="2:16">
      <c r="P62" s="25"/>
    </row>
    <row r="63" spans="2:16">
      <c r="P63" s="25"/>
    </row>
    <row r="64" spans="2:16">
      <c r="P64" s="25"/>
    </row>
    <row r="65" spans="16:16">
      <c r="P65" s="25"/>
    </row>
    <row r="66" spans="16:16">
      <c r="P66" s="25"/>
    </row>
    <row r="67" spans="16:16">
      <c r="P67" s="25"/>
    </row>
    <row r="68" spans="16:16">
      <c r="P68" s="25"/>
    </row>
    <row r="69" spans="16:16">
      <c r="P69" s="25"/>
    </row>
    <row r="70" spans="16:16">
      <c r="P70" s="25"/>
    </row>
    <row r="71" spans="16:16">
      <c r="P71" s="25"/>
    </row>
    <row r="72" spans="16:16">
      <c r="P72" s="25"/>
    </row>
    <row r="73" spans="16:16">
      <c r="P73" s="25"/>
    </row>
    <row r="74" spans="16:16">
      <c r="P74" s="25"/>
    </row>
  </sheetData>
  <mergeCells count="20">
    <mergeCell ref="P43:S43"/>
    <mergeCell ref="K43:N43"/>
    <mergeCell ref="K50:N50"/>
    <mergeCell ref="B54:D54"/>
    <mergeCell ref="C2:D2"/>
    <mergeCell ref="E2:F2"/>
    <mergeCell ref="G2:H2"/>
    <mergeCell ref="B26:B28"/>
    <mergeCell ref="B29:B31"/>
    <mergeCell ref="C32:H32"/>
    <mergeCell ref="F43:I43"/>
    <mergeCell ref="B32:B33"/>
    <mergeCell ref="C33:P33"/>
    <mergeCell ref="B50:D50"/>
    <mergeCell ref="I32:L32"/>
    <mergeCell ref="M32:P32"/>
    <mergeCell ref="O2:P2"/>
    <mergeCell ref="I2:J2"/>
    <mergeCell ref="K2:L2"/>
    <mergeCell ref="M2:N2"/>
  </mergeCells>
  <phoneticPr fontId="24" type="noConversion"/>
  <conditionalFormatting sqref="B6:P6">
    <cfRule type="cellIs" dxfId="20" priority="4" operator="greaterThan">
      <formula>0</formula>
    </cfRule>
  </conditionalFormatting>
  <conditionalFormatting sqref="B10:P10">
    <cfRule type="cellIs" dxfId="19" priority="1" operator="greaterThan">
      <formula>0</formula>
    </cfRule>
  </conditionalFormatting>
  <conditionalFormatting sqref="B11:P12">
    <cfRule type="cellIs" dxfId="18" priority="3" operator="greaterThan">
      <formula>0</formula>
    </cfRule>
  </conditionalFormatting>
  <conditionalFormatting sqref="C7:P7">
    <cfRule type="cellIs" dxfId="17" priority="2" operator="greaterThan">
      <formula>0</formula>
    </cfRule>
  </conditionalFormatting>
  <conditionalFormatting sqref="C13:P13">
    <cfRule type="cellIs" dxfId="16" priority="9" operator="greaterThan">
      <formula>0</formula>
    </cfRule>
  </conditionalFormatting>
  <conditionalFormatting sqref="C15:P15">
    <cfRule type="cellIs" dxfId="15" priority="6" operator="greaterThan">
      <formula>0</formula>
    </cfRule>
  </conditionalFormatting>
  <conditionalFormatting sqref="C17:P17">
    <cfRule type="cellIs" dxfId="14" priority="8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3"/>
  <sheetViews>
    <sheetView workbookViewId="0">
      <selection activeCell="R24" sqref="R24"/>
    </sheetView>
  </sheetViews>
  <sheetFormatPr defaultRowHeight="15.6"/>
  <cols>
    <col min="1" max="1" width="4.44140625" style="34" customWidth="1"/>
    <col min="2" max="2" width="8.88671875" style="34" customWidth="1"/>
    <col min="3" max="3" width="53.109375" style="34" customWidth="1"/>
    <col min="4" max="4" width="9.109375" style="34" bestFit="1" customWidth="1"/>
    <col min="5" max="7" width="11.109375" style="34" bestFit="1" customWidth="1"/>
    <col min="8" max="9" width="15.77734375" style="34" customWidth="1"/>
    <col min="10" max="10" width="8.88671875" style="34"/>
    <col min="11" max="11" width="17.44140625" style="34" customWidth="1"/>
    <col min="12" max="12" width="16.77734375" style="34" customWidth="1"/>
    <col min="13" max="13" width="14.109375" style="34" customWidth="1"/>
    <col min="14" max="14" width="8.88671875" style="34"/>
    <col min="15" max="15" width="17.44140625" style="34" customWidth="1"/>
    <col min="16" max="16384" width="8.88671875" style="34"/>
  </cols>
  <sheetData>
    <row r="1" spans="2:21" ht="16.2" thickBot="1"/>
    <row r="2" spans="2:21" ht="24" customHeight="1" thickTop="1" thickBot="1">
      <c r="B2" s="133" t="s">
        <v>68</v>
      </c>
      <c r="C2" s="134"/>
      <c r="D2" s="134"/>
      <c r="E2" s="134"/>
      <c r="F2" s="134"/>
      <c r="G2" s="134"/>
      <c r="H2" s="134"/>
      <c r="I2" s="135"/>
      <c r="R2" s="61"/>
    </row>
    <row r="3" spans="2:21" ht="16.8" customHeight="1" thickTop="1" thickBot="1">
      <c r="B3" s="49"/>
      <c r="C3" s="50"/>
      <c r="D3" s="50"/>
      <c r="E3" s="50"/>
      <c r="F3" s="50"/>
      <c r="G3" s="50"/>
      <c r="H3" s="50"/>
      <c r="I3" s="51"/>
      <c r="R3" s="61"/>
    </row>
    <row r="4" spans="2:21" ht="17.55" customHeight="1" thickTop="1">
      <c r="B4" s="136" t="s">
        <v>45</v>
      </c>
      <c r="C4" s="137"/>
      <c r="D4" s="136" t="str">
        <f>"期望"&amp;普通兑换道具</f>
        <v>期望普通卷轴</v>
      </c>
      <c r="E4" s="140"/>
      <c r="F4" s="137"/>
      <c r="G4" s="140" t="str">
        <f>"期望"&amp;高级兑换道具</f>
        <v>期望高级卷轴</v>
      </c>
      <c r="H4" s="140"/>
      <c r="I4" s="137"/>
      <c r="R4" s="61"/>
    </row>
    <row r="5" spans="2:21" ht="17.55" customHeight="1">
      <c r="B5" s="138"/>
      <c r="C5" s="139"/>
      <c r="D5" s="138"/>
      <c r="E5" s="141"/>
      <c r="F5" s="139"/>
      <c r="G5" s="141"/>
      <c r="H5" s="141"/>
      <c r="I5" s="139"/>
      <c r="R5" s="61"/>
      <c r="T5" s="62"/>
      <c r="U5" s="62"/>
    </row>
    <row r="6" spans="2:21" ht="20.85" customHeight="1" thickBot="1">
      <c r="B6" s="142">
        <v>50400</v>
      </c>
      <c r="C6" s="143"/>
      <c r="D6" s="144">
        <f>哥布林弹珠5w!O24</f>
        <v>21198.75</v>
      </c>
      <c r="E6" s="145"/>
      <c r="F6" s="146"/>
      <c r="G6" s="147">
        <f>哥布林弹珠5w!O25</f>
        <v>901.66000000000008</v>
      </c>
      <c r="H6" s="147"/>
      <c r="I6" s="148"/>
      <c r="R6" s="61"/>
      <c r="T6" s="62"/>
      <c r="U6" s="62"/>
    </row>
    <row r="7" spans="2:21" ht="13.35" customHeight="1" thickTop="1" thickBot="1">
      <c r="B7" s="52"/>
      <c r="C7" s="53"/>
      <c r="D7" s="54"/>
      <c r="E7" s="54"/>
      <c r="F7" s="55"/>
      <c r="G7" s="55"/>
      <c r="H7" s="56"/>
      <c r="I7" s="57"/>
      <c r="R7" s="61"/>
      <c r="T7" s="63"/>
      <c r="U7" s="63"/>
    </row>
    <row r="8" spans="2:21" ht="17.55" customHeight="1" thickTop="1">
      <c r="B8" s="121" t="s">
        <v>140</v>
      </c>
      <c r="C8" s="122"/>
      <c r="D8" s="122"/>
      <c r="E8" s="122"/>
      <c r="F8" s="122"/>
      <c r="G8" s="122"/>
      <c r="H8" s="122"/>
      <c r="I8" s="123"/>
      <c r="R8" s="61"/>
    </row>
    <row r="9" spans="2:21" ht="17.55" customHeight="1" thickBot="1">
      <c r="B9" s="124"/>
      <c r="C9" s="125"/>
      <c r="D9" s="125"/>
      <c r="E9" s="125"/>
      <c r="F9" s="125"/>
      <c r="G9" s="125"/>
      <c r="H9" s="125"/>
      <c r="I9" s="126"/>
      <c r="R9" s="61"/>
    </row>
    <row r="10" spans="2:21" ht="16.8" customHeight="1" thickTop="1" thickBot="1">
      <c r="B10" s="49"/>
      <c r="C10" s="50"/>
      <c r="D10" s="50"/>
      <c r="E10" s="50"/>
      <c r="F10" s="50"/>
      <c r="G10" s="50"/>
      <c r="H10" s="50"/>
      <c r="I10" s="51"/>
      <c r="R10" s="61"/>
    </row>
    <row r="11" spans="2:21" ht="19.2" customHeight="1" thickTop="1">
      <c r="B11" s="43" t="s">
        <v>35</v>
      </c>
      <c r="C11" s="44" t="s">
        <v>44</v>
      </c>
      <c r="D11" s="44" t="str">
        <f>哥布林弹珠5w!B20</f>
        <v>目标档位</v>
      </c>
      <c r="E11" s="44" t="str">
        <f>哥布林弹珠5w!B13</f>
        <v>使用制作券</v>
      </c>
      <c r="F11" s="44" t="str">
        <f>哥布林弹珠5w!B14</f>
        <v>剩余制作券</v>
      </c>
      <c r="G11" s="44" t="str">
        <f>哥布林弹珠5w!B16</f>
        <v>剩余随机箱</v>
      </c>
      <c r="H11" s="44" t="str">
        <f>"期望"&amp;普通兑换道具</f>
        <v>期望普通卷轴</v>
      </c>
      <c r="I11" s="45" t="str">
        <f>"期望"&amp;高级兑换道具</f>
        <v>期望高级卷轴</v>
      </c>
      <c r="R11" s="61"/>
    </row>
    <row r="12" spans="2:21" ht="24" customHeight="1">
      <c r="B12" s="41" t="s">
        <v>36</v>
      </c>
      <c r="C12" s="37" t="s">
        <v>137</v>
      </c>
      <c r="D12" s="37" t="str">
        <f>哥布林弹珠5w!C20</f>
        <v>第2档</v>
      </c>
      <c r="E12" s="37">
        <f>哥布林弹珠5w!C13</f>
        <v>0</v>
      </c>
      <c r="F12" s="37">
        <f>哥布林弹珠5w!C14</f>
        <v>250</v>
      </c>
      <c r="G12" s="37">
        <f>哥布林弹珠5w!C16</f>
        <v>3</v>
      </c>
      <c r="H12" s="38">
        <f>哥布林弹珠5w!C24</f>
        <v>0</v>
      </c>
      <c r="I12" s="42">
        <f>哥布林弹珠5w!C25</f>
        <v>0</v>
      </c>
      <c r="R12" s="61"/>
    </row>
    <row r="13" spans="2:21" ht="24" customHeight="1">
      <c r="B13" s="39" t="s">
        <v>37</v>
      </c>
      <c r="C13" s="35" t="s">
        <v>139</v>
      </c>
      <c r="D13" s="35" t="str">
        <f>哥布林弹珠5w!E20</f>
        <v>第2档</v>
      </c>
      <c r="E13" s="35">
        <f>哥布林弹珠5w!E13</f>
        <v>167</v>
      </c>
      <c r="F13" s="35">
        <f>哥布林弹珠5w!E14</f>
        <v>328</v>
      </c>
      <c r="G13" s="35">
        <f>哥布林弹珠5w!E16</f>
        <v>6</v>
      </c>
      <c r="H13" s="36">
        <f>哥布林弹珠5w!E24</f>
        <v>1962.25</v>
      </c>
      <c r="I13" s="40">
        <f>哥布林弹珠5w!E25</f>
        <v>50.100000000000009</v>
      </c>
      <c r="R13" s="61"/>
    </row>
    <row r="14" spans="2:21" ht="24" customHeight="1">
      <c r="B14" s="39" t="s">
        <v>38</v>
      </c>
      <c r="C14" s="35" t="s">
        <v>139</v>
      </c>
      <c r="D14" s="35" t="str">
        <f>哥布林弹珠5w!G20</f>
        <v>第2档</v>
      </c>
      <c r="E14" s="36">
        <f>哥布林弹珠5w!G13</f>
        <v>167</v>
      </c>
      <c r="F14" s="36">
        <f>哥布林弹珠5w!G14</f>
        <v>406</v>
      </c>
      <c r="G14" s="36">
        <f>哥布林弹珠5w!G16</f>
        <v>9</v>
      </c>
      <c r="H14" s="36">
        <f>哥布林弹珠5w!G24</f>
        <v>3924.5</v>
      </c>
      <c r="I14" s="40">
        <f>哥布林弹珠5w!G25</f>
        <v>100.20000000000002</v>
      </c>
      <c r="R14" s="61"/>
    </row>
    <row r="15" spans="2:21" ht="24" customHeight="1">
      <c r="B15" s="39" t="s">
        <v>39</v>
      </c>
      <c r="C15" s="35" t="s">
        <v>139</v>
      </c>
      <c r="D15" s="35" t="str">
        <f>哥布林弹珠5w!I20</f>
        <v>第2档</v>
      </c>
      <c r="E15" s="36">
        <f>哥布林弹珠5w!I13</f>
        <v>167</v>
      </c>
      <c r="F15" s="36">
        <f>哥布林弹珠5w!I14</f>
        <v>484</v>
      </c>
      <c r="G15" s="36">
        <f>哥布林弹珠5w!I16</f>
        <v>12</v>
      </c>
      <c r="H15" s="36">
        <f>哥布林弹珠5w!I24</f>
        <v>5886.75</v>
      </c>
      <c r="I15" s="40">
        <f>哥布林弹珠5w!I25</f>
        <v>150.30000000000001</v>
      </c>
      <c r="R15" s="61"/>
    </row>
    <row r="16" spans="2:21" ht="24" customHeight="1">
      <c r="B16" s="39" t="s">
        <v>40</v>
      </c>
      <c r="C16" s="35" t="s">
        <v>139</v>
      </c>
      <c r="D16" s="35" t="str">
        <f>哥布林弹珠5w!K20</f>
        <v>第2档</v>
      </c>
      <c r="E16" s="35">
        <f>哥布林弹珠5w!K13</f>
        <v>167</v>
      </c>
      <c r="F16" s="35">
        <f>哥布林弹珠5w!K14</f>
        <v>562</v>
      </c>
      <c r="G16" s="35">
        <f>哥布林弹珠5w!K16</f>
        <v>15</v>
      </c>
      <c r="H16" s="36">
        <f>哥布林弹珠5w!K24</f>
        <v>7849</v>
      </c>
      <c r="I16" s="40">
        <f>哥布林弹珠5w!K25</f>
        <v>200.40000000000003</v>
      </c>
      <c r="R16" s="61"/>
    </row>
    <row r="17" spans="1:18" ht="24" customHeight="1">
      <c r="B17" s="39" t="s">
        <v>41</v>
      </c>
      <c r="C17" s="35" t="s">
        <v>139</v>
      </c>
      <c r="D17" s="35" t="str">
        <f>哥布林弹珠5w!M20</f>
        <v>第2档</v>
      </c>
      <c r="E17" s="35">
        <f>哥布林弹珠5w!M13</f>
        <v>167</v>
      </c>
      <c r="F17" s="35">
        <f>哥布林弹珠5w!M14</f>
        <v>640</v>
      </c>
      <c r="G17" s="35">
        <f>哥布林弹珠5w!M16</f>
        <v>18</v>
      </c>
      <c r="H17" s="36">
        <f>哥布林弹珠5w!M24</f>
        <v>9811.25</v>
      </c>
      <c r="I17" s="40">
        <f>哥布林弹珠5w!M25</f>
        <v>250.50000000000006</v>
      </c>
      <c r="R17" s="61"/>
    </row>
    <row r="18" spans="1:18" ht="38.4" customHeight="1" thickBot="1">
      <c r="A18" s="34" t="s">
        <v>47</v>
      </c>
      <c r="B18" s="46" t="s">
        <v>42</v>
      </c>
      <c r="C18" s="47" t="s">
        <v>142</v>
      </c>
      <c r="D18" s="48" t="str">
        <f>哥布林弹珠5w!O20</f>
        <v>第3档</v>
      </c>
      <c r="E18" s="47">
        <f>哥布林弹珠5w!O13</f>
        <v>1010</v>
      </c>
      <c r="F18" s="47">
        <f>哥布林弹珠5w!O14</f>
        <v>0</v>
      </c>
      <c r="G18" s="47">
        <f>哥布林弹珠5w!O16</f>
        <v>0</v>
      </c>
      <c r="H18" s="48">
        <f>哥布林弹珠5w!O24</f>
        <v>21198.75</v>
      </c>
      <c r="I18" s="58">
        <f>哥布林弹珠5w!O25</f>
        <v>901.66000000000008</v>
      </c>
      <c r="R18" s="61"/>
    </row>
    <row r="19" spans="1:18" ht="17.399999999999999" customHeight="1" thickTop="1" thickBot="1">
      <c r="B19" s="49"/>
      <c r="C19" s="50"/>
      <c r="D19" s="50"/>
      <c r="E19" s="50"/>
      <c r="F19" s="50"/>
      <c r="G19" s="50"/>
      <c r="H19" s="50"/>
      <c r="I19" s="51"/>
      <c r="R19" s="61"/>
    </row>
    <row r="20" spans="1:18" ht="18.45" customHeight="1" thickTop="1">
      <c r="B20" s="127" t="s">
        <v>43</v>
      </c>
      <c r="C20" s="128"/>
      <c r="D20" s="128"/>
      <c r="E20" s="128"/>
      <c r="F20" s="128"/>
      <c r="G20" s="128"/>
      <c r="H20" s="128"/>
      <c r="I20" s="129"/>
      <c r="R20" s="61"/>
    </row>
    <row r="21" spans="1:18" ht="66" customHeight="1" thickBot="1">
      <c r="B21" s="130" t="s">
        <v>141</v>
      </c>
      <c r="C21" s="131"/>
      <c r="D21" s="131"/>
      <c r="E21" s="131"/>
      <c r="F21" s="131"/>
      <c r="G21" s="131"/>
      <c r="H21" s="131"/>
      <c r="I21" s="132"/>
      <c r="R21" s="61"/>
    </row>
    <row r="22" spans="1:18" ht="34.5" customHeight="1" thickTop="1">
      <c r="B22" s="64"/>
      <c r="C22" s="64"/>
      <c r="D22" s="64"/>
      <c r="E22" s="64"/>
      <c r="F22" s="64"/>
      <c r="G22" s="64"/>
      <c r="H22" s="64"/>
      <c r="I22" s="64"/>
      <c r="R22" s="61"/>
    </row>
    <row r="23" spans="1:18" ht="12.9" customHeight="1">
      <c r="B23" s="64"/>
      <c r="C23" s="64"/>
      <c r="D23" s="64"/>
      <c r="E23" s="64"/>
      <c r="F23" s="64"/>
      <c r="G23" s="64"/>
      <c r="H23" s="64"/>
      <c r="I23" s="64"/>
      <c r="R23" s="61"/>
    </row>
    <row r="24" spans="1:18" ht="15.6" customHeight="1">
      <c r="R24" s="61"/>
    </row>
    <row r="25" spans="1:18" ht="16.2" customHeight="1">
      <c r="B25" s="65"/>
      <c r="C25" s="65"/>
      <c r="D25" s="65"/>
      <c r="E25" s="65"/>
      <c r="F25" s="65"/>
      <c r="G25" s="65"/>
      <c r="H25" s="65"/>
      <c r="I25" s="65"/>
      <c r="R25" s="61"/>
    </row>
    <row r="26" spans="1:18" ht="15.3" customHeight="1">
      <c r="B26" s="65"/>
      <c r="C26" s="65"/>
      <c r="D26" s="65"/>
      <c r="E26" s="65"/>
      <c r="F26" s="65"/>
      <c r="G26" s="65"/>
      <c r="H26" s="65"/>
      <c r="I26" s="65"/>
      <c r="R26" s="61"/>
    </row>
    <row r="27" spans="1:18" ht="22.95" customHeight="1">
      <c r="B27" s="65"/>
      <c r="C27" s="65"/>
      <c r="D27" s="65"/>
      <c r="E27" s="65"/>
      <c r="F27" s="65"/>
      <c r="G27" s="65"/>
      <c r="H27" s="65"/>
      <c r="I27" s="65"/>
      <c r="R27" s="61"/>
    </row>
    <row r="28" spans="1:18" ht="22.95" customHeight="1">
      <c r="N28" s="61"/>
      <c r="O28" s="61"/>
      <c r="P28" s="61"/>
      <c r="Q28" s="61"/>
      <c r="R28" s="61"/>
    </row>
    <row r="29" spans="1:18" ht="22.95" customHeight="1">
      <c r="N29" s="61"/>
      <c r="O29" s="61"/>
      <c r="P29" s="61"/>
      <c r="Q29" s="61"/>
      <c r="R29" s="61"/>
    </row>
    <row r="30" spans="1:18" ht="15.6" customHeight="1">
      <c r="N30" s="61"/>
      <c r="O30" s="61"/>
      <c r="P30" s="61"/>
      <c r="Q30" s="61"/>
      <c r="R30" s="61"/>
    </row>
    <row r="31" spans="1:18" ht="20.55" customHeight="1">
      <c r="N31" s="61"/>
      <c r="O31" s="61"/>
      <c r="P31" s="61"/>
      <c r="Q31" s="61"/>
      <c r="R31" s="61"/>
    </row>
    <row r="32" spans="1:18" ht="15.6" customHeight="1">
      <c r="N32" s="61"/>
      <c r="O32" s="61"/>
      <c r="P32" s="61"/>
      <c r="Q32" s="61"/>
      <c r="R32" s="61"/>
    </row>
    <row r="33" ht="17.850000000000001" customHeight="1"/>
  </sheetData>
  <mergeCells count="10">
    <mergeCell ref="B20:I20"/>
    <mergeCell ref="B21:I21"/>
    <mergeCell ref="B8:I9"/>
    <mergeCell ref="B2:I2"/>
    <mergeCell ref="B6:C6"/>
    <mergeCell ref="B4:C5"/>
    <mergeCell ref="G4:I5"/>
    <mergeCell ref="G6:I6"/>
    <mergeCell ref="D4:F5"/>
    <mergeCell ref="D6:F6"/>
  </mergeCells>
  <phoneticPr fontId="24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7CC4E-4733-44C5-8A4C-57711D707AD8}">
  <dimension ref="B1:S74"/>
  <sheetViews>
    <sheetView topLeftCell="A4" workbookViewId="0">
      <selection activeCell="Q13" sqref="Q13"/>
    </sheetView>
  </sheetViews>
  <sheetFormatPr defaultRowHeight="15.6"/>
  <cols>
    <col min="1" max="1" width="3.77734375" style="1" customWidth="1"/>
    <col min="2" max="2" width="16.109375" style="1" customWidth="1"/>
    <col min="3" max="16" width="10.77734375" style="1" customWidth="1"/>
    <col min="17" max="17" width="7.77734375" style="1" customWidth="1"/>
    <col min="18" max="18" width="13.5546875" style="1" customWidth="1"/>
    <col min="19" max="19" width="9.88671875" style="1" customWidth="1"/>
    <col min="20" max="20" width="13.6640625" style="1" customWidth="1"/>
    <col min="21" max="21" width="14.6640625" style="1" customWidth="1"/>
    <col min="22" max="16384" width="8.88671875" style="1"/>
  </cols>
  <sheetData>
    <row r="1" spans="2:16" ht="16.2" thickBot="1"/>
    <row r="2" spans="2:16" ht="16.2" thickTop="1">
      <c r="B2" s="14"/>
      <c r="C2" s="168" t="s">
        <v>25</v>
      </c>
      <c r="D2" s="169"/>
      <c r="E2" s="168" t="s">
        <v>26</v>
      </c>
      <c r="F2" s="169"/>
      <c r="G2" s="168" t="s">
        <v>27</v>
      </c>
      <c r="H2" s="169"/>
      <c r="I2" s="168" t="s">
        <v>28</v>
      </c>
      <c r="J2" s="169"/>
      <c r="K2" s="168" t="s">
        <v>29</v>
      </c>
      <c r="L2" s="169"/>
      <c r="M2" s="168" t="s">
        <v>30</v>
      </c>
      <c r="N2" s="169"/>
      <c r="O2" s="168" t="s">
        <v>31</v>
      </c>
      <c r="P2" s="169"/>
    </row>
    <row r="3" spans="2:16" ht="16.2" thickBot="1">
      <c r="B3" s="15"/>
      <c r="C3" s="3" t="str">
        <f>抽奖道具</f>
        <v>制作券</v>
      </c>
      <c r="D3" s="4" t="s">
        <v>6</v>
      </c>
      <c r="E3" s="3" t="str">
        <f>抽奖道具</f>
        <v>制作券</v>
      </c>
      <c r="F3" s="4" t="s">
        <v>6</v>
      </c>
      <c r="G3" s="3" t="str">
        <f>抽奖道具</f>
        <v>制作券</v>
      </c>
      <c r="H3" s="4" t="s">
        <v>6</v>
      </c>
      <c r="I3" s="3" t="str">
        <f>抽奖道具</f>
        <v>制作券</v>
      </c>
      <c r="J3" s="4" t="s">
        <v>6</v>
      </c>
      <c r="K3" s="3" t="str">
        <f>抽奖道具</f>
        <v>制作券</v>
      </c>
      <c r="L3" s="4" t="s">
        <v>6</v>
      </c>
      <c r="M3" s="3" t="str">
        <f>抽奖道具</f>
        <v>制作券</v>
      </c>
      <c r="N3" s="4" t="s">
        <v>6</v>
      </c>
      <c r="O3" s="3" t="str">
        <f>抽奖道具</f>
        <v>制作券</v>
      </c>
      <c r="P3" s="4" t="s">
        <v>6</v>
      </c>
    </row>
    <row r="4" spans="2:16" ht="16.2" thickTop="1">
      <c r="B4" s="69" t="s">
        <v>55</v>
      </c>
      <c r="C4" s="3">
        <v>5</v>
      </c>
      <c r="D4" s="4">
        <f t="shared" ref="D4:P12" si="0">C4*积分规则1</f>
        <v>50</v>
      </c>
      <c r="E4" s="3"/>
      <c r="F4" s="4">
        <f t="shared" ref="F4:F12" si="1">E4*积分规则1</f>
        <v>0</v>
      </c>
      <c r="G4" s="3"/>
      <c r="H4" s="4">
        <f t="shared" ref="H4:H12" si="2">G4*积分规则1</f>
        <v>0</v>
      </c>
      <c r="I4" s="3"/>
      <c r="J4" s="4">
        <f t="shared" ref="J4:J12" si="3">I4*积分规则1</f>
        <v>0</v>
      </c>
      <c r="K4" s="3"/>
      <c r="L4" s="4">
        <f t="shared" ref="L4:L12" si="4">K4*积分规则1</f>
        <v>0</v>
      </c>
      <c r="M4" s="3"/>
      <c r="N4" s="4">
        <f t="shared" ref="N4:N12" si="5">M4*积分规则1</f>
        <v>0</v>
      </c>
      <c r="O4" s="3"/>
      <c r="P4" s="4">
        <f t="shared" ref="P4:P12" si="6">O4*积分规则1</f>
        <v>0</v>
      </c>
    </row>
    <row r="5" spans="2:16">
      <c r="B5" s="15" t="s">
        <v>32</v>
      </c>
      <c r="C5" s="3">
        <v>125</v>
      </c>
      <c r="D5" s="4">
        <f t="shared" si="0"/>
        <v>1250</v>
      </c>
      <c r="E5" s="3">
        <v>125</v>
      </c>
      <c r="F5" s="4">
        <f t="shared" si="1"/>
        <v>1250</v>
      </c>
      <c r="G5" s="3">
        <v>125</v>
      </c>
      <c r="H5" s="4">
        <f t="shared" si="2"/>
        <v>1250</v>
      </c>
      <c r="I5" s="3">
        <v>125</v>
      </c>
      <c r="J5" s="4">
        <f t="shared" si="3"/>
        <v>1250</v>
      </c>
      <c r="K5" s="3">
        <v>125</v>
      </c>
      <c r="L5" s="4">
        <f t="shared" si="4"/>
        <v>1250</v>
      </c>
      <c r="M5" s="3">
        <v>125</v>
      </c>
      <c r="N5" s="4">
        <f t="shared" si="5"/>
        <v>1250</v>
      </c>
      <c r="O5" s="3">
        <v>125</v>
      </c>
      <c r="P5" s="4">
        <f t="shared" si="6"/>
        <v>1250</v>
      </c>
    </row>
    <row r="6" spans="2:16">
      <c r="B6" s="16" t="s">
        <v>17</v>
      </c>
      <c r="C6" s="3">
        <v>125</v>
      </c>
      <c r="D6" s="4">
        <f t="shared" si="0"/>
        <v>1250</v>
      </c>
      <c r="E6" s="3">
        <v>0</v>
      </c>
      <c r="F6" s="4">
        <f t="shared" si="1"/>
        <v>0</v>
      </c>
      <c r="G6" s="3">
        <v>0</v>
      </c>
      <c r="H6" s="4">
        <f t="shared" si="2"/>
        <v>0</v>
      </c>
      <c r="I6" s="3">
        <v>0</v>
      </c>
      <c r="J6" s="4">
        <f t="shared" si="3"/>
        <v>0</v>
      </c>
      <c r="K6" s="3">
        <v>0</v>
      </c>
      <c r="L6" s="4">
        <f t="shared" si="4"/>
        <v>0</v>
      </c>
      <c r="M6" s="3">
        <v>0</v>
      </c>
      <c r="N6" s="4">
        <f t="shared" si="5"/>
        <v>0</v>
      </c>
      <c r="O6" s="3">
        <v>90</v>
      </c>
      <c r="P6" s="4">
        <f t="shared" si="6"/>
        <v>900</v>
      </c>
    </row>
    <row r="7" spans="2:16">
      <c r="B7" s="96" t="s">
        <v>51</v>
      </c>
      <c r="C7" s="3"/>
      <c r="D7" s="4">
        <f t="shared" si="0"/>
        <v>0</v>
      </c>
      <c r="E7" s="3"/>
      <c r="F7" s="4">
        <f t="shared" si="1"/>
        <v>0</v>
      </c>
      <c r="G7" s="3"/>
      <c r="H7" s="4">
        <f t="shared" si="2"/>
        <v>0</v>
      </c>
      <c r="I7" s="3"/>
      <c r="J7" s="4">
        <f t="shared" si="3"/>
        <v>0</v>
      </c>
      <c r="K7" s="3">
        <v>0</v>
      </c>
      <c r="L7" s="4">
        <f t="shared" si="4"/>
        <v>0</v>
      </c>
      <c r="M7" s="3">
        <v>0</v>
      </c>
      <c r="N7" s="4">
        <f t="shared" si="5"/>
        <v>0</v>
      </c>
      <c r="O7" s="3">
        <v>125</v>
      </c>
      <c r="P7" s="4">
        <f t="shared" si="6"/>
        <v>1250</v>
      </c>
    </row>
    <row r="8" spans="2:16">
      <c r="B8" s="15" t="s">
        <v>52</v>
      </c>
      <c r="C8" s="3"/>
      <c r="D8" s="4">
        <f t="shared" si="0"/>
        <v>0</v>
      </c>
      <c r="E8" s="3"/>
      <c r="F8" s="4">
        <f t="shared" si="1"/>
        <v>0</v>
      </c>
      <c r="G8" s="3"/>
      <c r="H8" s="4">
        <f t="shared" si="2"/>
        <v>0</v>
      </c>
      <c r="I8" s="3"/>
      <c r="J8" s="4">
        <f t="shared" si="3"/>
        <v>0</v>
      </c>
      <c r="K8" s="3"/>
      <c r="L8" s="4">
        <f t="shared" si="4"/>
        <v>0</v>
      </c>
      <c r="M8" s="3"/>
      <c r="N8" s="4">
        <f t="shared" si="5"/>
        <v>0</v>
      </c>
      <c r="O8" s="3"/>
      <c r="P8" s="4">
        <f t="shared" si="6"/>
        <v>0</v>
      </c>
    </row>
    <row r="9" spans="2:16">
      <c r="B9" s="15" t="s">
        <v>64</v>
      </c>
      <c r="C9" s="3">
        <v>0</v>
      </c>
      <c r="D9" s="4">
        <f t="shared" si="0"/>
        <v>0</v>
      </c>
      <c r="E9" s="3">
        <v>0</v>
      </c>
      <c r="F9" s="4">
        <f t="shared" si="0"/>
        <v>0</v>
      </c>
      <c r="G9" s="3">
        <v>0</v>
      </c>
      <c r="H9" s="4">
        <f t="shared" si="0"/>
        <v>0</v>
      </c>
      <c r="I9" s="3">
        <v>0</v>
      </c>
      <c r="J9" s="4">
        <f t="shared" si="0"/>
        <v>0</v>
      </c>
      <c r="K9" s="3">
        <v>0</v>
      </c>
      <c r="L9" s="4">
        <f t="shared" si="0"/>
        <v>0</v>
      </c>
      <c r="M9" s="3">
        <v>0</v>
      </c>
      <c r="N9" s="4">
        <f t="shared" si="0"/>
        <v>0</v>
      </c>
      <c r="O9" s="3">
        <v>0</v>
      </c>
      <c r="P9" s="4">
        <f t="shared" si="0"/>
        <v>0</v>
      </c>
    </row>
    <row r="10" spans="2:16" ht="16.2" thickBot="1">
      <c r="B10" s="70" t="s">
        <v>50</v>
      </c>
      <c r="C10" s="3">
        <v>0</v>
      </c>
      <c r="D10" s="4">
        <f>C10*积分规则1</f>
        <v>0</v>
      </c>
      <c r="E10" s="3">
        <v>0</v>
      </c>
      <c r="F10" s="4">
        <f>E10*积分规则1</f>
        <v>0</v>
      </c>
      <c r="G10" s="3">
        <v>0</v>
      </c>
      <c r="H10" s="4">
        <f>G10*积分规则1</f>
        <v>0</v>
      </c>
      <c r="I10" s="3">
        <v>0</v>
      </c>
      <c r="J10" s="4">
        <f>I10*积分规则1</f>
        <v>0</v>
      </c>
      <c r="K10" s="3">
        <v>0</v>
      </c>
      <c r="L10" s="4">
        <f>K10*积分规则1</f>
        <v>0</v>
      </c>
      <c r="M10" s="3">
        <v>0</v>
      </c>
      <c r="N10" s="4">
        <f>M10*积分规则1</f>
        <v>0</v>
      </c>
      <c r="O10" s="3">
        <v>0</v>
      </c>
      <c r="P10" s="4">
        <f>O10*积分规则1</f>
        <v>0</v>
      </c>
    </row>
    <row r="11" spans="2:16" ht="16.2" thickTop="1">
      <c r="B11" s="71" t="s">
        <v>53</v>
      </c>
      <c r="C11" s="3"/>
      <c r="D11" s="4">
        <f t="shared" si="0"/>
        <v>0</v>
      </c>
      <c r="E11" s="3"/>
      <c r="F11" s="4">
        <f t="shared" si="1"/>
        <v>0</v>
      </c>
      <c r="G11" s="3"/>
      <c r="H11" s="4">
        <f t="shared" si="2"/>
        <v>0</v>
      </c>
      <c r="I11" s="3"/>
      <c r="J11" s="4">
        <f t="shared" si="3"/>
        <v>0</v>
      </c>
      <c r="K11" s="3"/>
      <c r="L11" s="4">
        <f t="shared" si="4"/>
        <v>0</v>
      </c>
      <c r="M11" s="3"/>
      <c r="N11" s="4">
        <f t="shared" si="5"/>
        <v>0</v>
      </c>
      <c r="O11" s="3"/>
      <c r="P11" s="4">
        <f t="shared" si="6"/>
        <v>0</v>
      </c>
    </row>
    <row r="12" spans="2:16" ht="16.2" thickBot="1">
      <c r="B12" s="72" t="s">
        <v>54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/>
      <c r="P12" s="4">
        <f t="shared" si="6"/>
        <v>0</v>
      </c>
    </row>
    <row r="13" spans="2:16" ht="16.2" thickTop="1">
      <c r="B13" s="80" t="str">
        <f>"使用"&amp;抽奖道具</f>
        <v>使用制作券</v>
      </c>
      <c r="C13" s="3">
        <v>0</v>
      </c>
      <c r="D13" s="4">
        <f>C13*积分规则3</f>
        <v>0</v>
      </c>
      <c r="E13" s="3">
        <v>0</v>
      </c>
      <c r="F13" s="4">
        <f>E13*积分规则3</f>
        <v>0</v>
      </c>
      <c r="G13" s="3">
        <v>0</v>
      </c>
      <c r="H13" s="4">
        <f>G13*积分规则3</f>
        <v>0</v>
      </c>
      <c r="I13" s="3">
        <v>0</v>
      </c>
      <c r="J13" s="4">
        <f>I13*积分规则3</f>
        <v>0</v>
      </c>
      <c r="K13" s="3">
        <v>0</v>
      </c>
      <c r="L13" s="4">
        <f>K13*积分规则3</f>
        <v>0</v>
      </c>
      <c r="M13" s="3">
        <v>0</v>
      </c>
      <c r="N13" s="4">
        <f>M13*积分规则3</f>
        <v>0</v>
      </c>
      <c r="O13" s="3">
        <v>1220</v>
      </c>
      <c r="P13" s="4">
        <f>O13*积分规则3</f>
        <v>366.00000000000006</v>
      </c>
    </row>
    <row r="14" spans="2:16" ht="16.2" thickBot="1">
      <c r="B14" s="73" t="str">
        <f>"剩余"&amp;抽奖道具</f>
        <v>剩余制作券</v>
      </c>
      <c r="C14" s="3">
        <f>C22-C13</f>
        <v>255</v>
      </c>
      <c r="D14" s="4"/>
      <c r="E14" s="3">
        <f>C14+SUM(E4:E12)-E13</f>
        <v>380</v>
      </c>
      <c r="F14" s="4"/>
      <c r="G14" s="3">
        <f>E14+SUM(G4:G12)-G13</f>
        <v>505</v>
      </c>
      <c r="H14" s="4"/>
      <c r="I14" s="3">
        <f>G14+SUM(I4:I12)-I13</f>
        <v>630</v>
      </c>
      <c r="J14" s="4"/>
      <c r="K14" s="3">
        <f>I14+SUM(K4:K12)-K13</f>
        <v>755</v>
      </c>
      <c r="L14" s="4"/>
      <c r="M14" s="3">
        <f>K14+SUM(M4:M12)-M13</f>
        <v>880</v>
      </c>
      <c r="N14" s="4"/>
      <c r="O14" s="3">
        <f>M14+SUM(O4:O12)-O13</f>
        <v>0</v>
      </c>
      <c r="P14" s="4"/>
    </row>
    <row r="15" spans="2:16" ht="16.2" thickTop="1">
      <c r="B15" s="74" t="s">
        <v>33</v>
      </c>
      <c r="C15" s="3">
        <v>0</v>
      </c>
      <c r="D15" s="4">
        <f>C15*随机箱积分</f>
        <v>0</v>
      </c>
      <c r="E15" s="3">
        <v>0</v>
      </c>
      <c r="F15" s="4">
        <f>E15*随机箱积分</f>
        <v>0</v>
      </c>
      <c r="G15" s="3">
        <v>0</v>
      </c>
      <c r="H15" s="4">
        <f>G15*随机箱积分</f>
        <v>0</v>
      </c>
      <c r="I15" s="3">
        <v>0</v>
      </c>
      <c r="J15" s="4">
        <f>I15*随机箱积分</f>
        <v>0</v>
      </c>
      <c r="K15" s="3">
        <v>0</v>
      </c>
      <c r="L15" s="4">
        <f>K15*随机箱积分</f>
        <v>0</v>
      </c>
      <c r="M15" s="3">
        <v>0</v>
      </c>
      <c r="N15" s="4">
        <f>M15*随机箱积分</f>
        <v>0</v>
      </c>
      <c r="O15" s="3">
        <v>17</v>
      </c>
      <c r="P15" s="79">
        <f>O15*随机箱积分</f>
        <v>174.33499999999998</v>
      </c>
    </row>
    <row r="16" spans="2:16" ht="16.2" thickBot="1">
      <c r="B16" s="73" t="s">
        <v>34</v>
      </c>
      <c r="C16" s="3">
        <f>C23-SUM(C15)</f>
        <v>3</v>
      </c>
      <c r="D16" s="4"/>
      <c r="E16" s="3">
        <f>E23-SUM(C15,E15)</f>
        <v>3</v>
      </c>
      <c r="F16" s="4"/>
      <c r="G16" s="3">
        <f>G23-SUM(C15,E15,G15)</f>
        <v>3</v>
      </c>
      <c r="H16" s="4"/>
      <c r="I16" s="3">
        <f>I23-SUM(C15,E15,G15,I15)</f>
        <v>3</v>
      </c>
      <c r="J16" s="4"/>
      <c r="K16" s="3">
        <f>K23-SUM(C15,E15,G15,I15,K15)</f>
        <v>3</v>
      </c>
      <c r="L16" s="4"/>
      <c r="M16" s="3">
        <f>M23-SUM(C15,E15,G15,I15,K15,M15)</f>
        <v>3</v>
      </c>
      <c r="N16" s="4"/>
      <c r="O16" s="3">
        <f>O23-SUM(C15,E15,G15,I15,K15,M15,O15)</f>
        <v>0</v>
      </c>
      <c r="P16" s="4"/>
    </row>
    <row r="17" spans="2:16" ht="16.2" thickTop="1">
      <c r="B17" s="75" t="str">
        <f>"商店换"&amp;高级兑换道具</f>
        <v>商店换高级卷轴</v>
      </c>
      <c r="C17" s="3">
        <v>0</v>
      </c>
      <c r="D17" s="4">
        <f>C17*积分规则2</f>
        <v>0</v>
      </c>
      <c r="E17" s="3">
        <v>0</v>
      </c>
      <c r="F17" s="4">
        <f>E17*积分规则2</f>
        <v>0</v>
      </c>
      <c r="G17" s="3">
        <v>0</v>
      </c>
      <c r="H17" s="4">
        <f>G17*积分规则2</f>
        <v>0</v>
      </c>
      <c r="I17" s="3">
        <v>0</v>
      </c>
      <c r="J17" s="4">
        <f>I17*积分规则2</f>
        <v>0</v>
      </c>
      <c r="K17" s="3">
        <v>0</v>
      </c>
      <c r="L17" s="4">
        <f>K17*积分规则2</f>
        <v>0</v>
      </c>
      <c r="M17" s="3">
        <v>0</v>
      </c>
      <c r="N17" s="4">
        <f>M17*积分规则2</f>
        <v>0</v>
      </c>
      <c r="O17" s="3">
        <v>0</v>
      </c>
      <c r="P17" s="4">
        <f>O17*积分规则2</f>
        <v>0</v>
      </c>
    </row>
    <row r="18" spans="2:16">
      <c r="B18" s="15" t="s">
        <v>56</v>
      </c>
      <c r="C18" s="3"/>
      <c r="D18" s="4"/>
      <c r="E18" s="3"/>
      <c r="F18" s="4"/>
      <c r="G18" s="3"/>
      <c r="H18" s="4"/>
      <c r="I18" s="3"/>
      <c r="J18" s="4"/>
      <c r="K18" s="3"/>
      <c r="L18" s="4"/>
      <c r="M18" s="3"/>
      <c r="N18" s="4"/>
      <c r="O18" s="3"/>
      <c r="P18" s="4"/>
    </row>
    <row r="19" spans="2:16" ht="16.2" thickBot="1">
      <c r="B19" s="15" t="s">
        <v>56</v>
      </c>
      <c r="C19" s="3"/>
      <c r="D19" s="4"/>
      <c r="E19" s="3"/>
      <c r="F19" s="4"/>
      <c r="G19" s="3"/>
      <c r="H19" s="4"/>
      <c r="I19" s="3"/>
      <c r="J19" s="4"/>
      <c r="K19" s="3"/>
      <c r="L19" s="4"/>
      <c r="M19" s="3"/>
      <c r="N19" s="4"/>
      <c r="O19" s="3"/>
      <c r="P19" s="4"/>
    </row>
    <row r="20" spans="2:16" ht="16.8" thickTop="1" thickBot="1">
      <c r="B20" s="82" t="s">
        <v>58</v>
      </c>
      <c r="C20" s="83" t="str">
        <f>IFERROR(LOOKUP(D20,档位积分1:档位积分5,第1档:第5档),"无奖励")</f>
        <v>第2档</v>
      </c>
      <c r="D20" s="84">
        <f>SUM(D4:D13)+D15+SUM(D17:D19)</f>
        <v>2550</v>
      </c>
      <c r="E20" s="85" t="str">
        <f>IFERROR(LOOKUP(F20,档位积分1:档位积分5,第1档:第5档),"无奖励")</f>
        <v>第1档</v>
      </c>
      <c r="F20" s="84">
        <f>SUM(F4:F13)+F15+SUM(F17:F19)</f>
        <v>1250</v>
      </c>
      <c r="G20" s="85" t="str">
        <f>IFERROR(LOOKUP(H20,档位积分1:档位积分5,第1档:第5档),"无奖励")</f>
        <v>第1档</v>
      </c>
      <c r="H20" s="84">
        <f>SUM(H4:H13)+H15+SUM(H17:H19)</f>
        <v>1250</v>
      </c>
      <c r="I20" s="85" t="str">
        <f>IFERROR(LOOKUP(J20,档位积分1:档位积分5,第1档:第5档),"无奖励")</f>
        <v>第1档</v>
      </c>
      <c r="J20" s="84">
        <f>SUM(J4:J13)+J15+SUM(J17:J19)</f>
        <v>1250</v>
      </c>
      <c r="K20" s="85" t="str">
        <f>IFERROR(LOOKUP(L20,档位积分1:档位积分5,第1档:第5档),"无奖励")</f>
        <v>第1档</v>
      </c>
      <c r="L20" s="84">
        <f>SUM(L4:L13)+L15+SUM(L17:L19)</f>
        <v>1250</v>
      </c>
      <c r="M20" s="85" t="str">
        <f>IFERROR(LOOKUP(N20,档位积分1:档位积分5,第1档:第5档),"无奖励")</f>
        <v>第1档</v>
      </c>
      <c r="N20" s="84">
        <f>SUM(N4:N13)+N15+SUM(N17:N19)</f>
        <v>1250</v>
      </c>
      <c r="O20" s="85" t="str">
        <f>IFERROR(LOOKUP(P20,档位积分1:档位积分5,第1档:第5档),"无奖励")</f>
        <v>第3档</v>
      </c>
      <c r="P20" s="84">
        <f>SUM(P4:P13)+P15+SUM(P17:P19)</f>
        <v>3940.335</v>
      </c>
    </row>
    <row r="21" spans="2:16" ht="16.8" thickTop="1" thickBot="1">
      <c r="B21" s="69" t="s">
        <v>63</v>
      </c>
      <c r="C21" s="67" t="str">
        <f>IF(D20&gt;=MAX(档位积分1:档位积分5), "已是最高档",
   IF(D20&lt;MIN(档位积分1:档位积分5), INDEX(第1档:第5档, 1),
      INDEX(第1档:第5档, MATCH(D20, 档位积分1:档位积分5, 1)+1)))</f>
        <v>第3档</v>
      </c>
      <c r="D21" s="95">
        <f>IF(D20&gt;=MAX(档位积分1:档位积分5), "",
   IF(D20&lt;MIN(档位积分1:档位积分5), MIN(档位积分1:档位积分5),
      INDEX(档位积分1:档位积分5, MATCH(D20, 档位积分1:档位积分5, 1)+1)))</f>
        <v>3800</v>
      </c>
      <c r="E21" s="67" t="str">
        <f>IF(F20&gt;=MAX(档位积分1:档位积分5), "已是最高档",
   IF(F20&lt;MIN(档位积分1:档位积分5), INDEX(第1档:第5档, 1),
      INDEX(第1档:第5档, MATCH(F20, 档位积分1:档位积分5, 1)+1)))</f>
        <v>第2档</v>
      </c>
      <c r="F21" s="95">
        <f>IF(F20&gt;=MAX(档位积分1:档位积分5), "",
   IF(F20&lt;MIN(档位积分1:档位积分5), MIN(档位积分1:档位积分5),
      INDEX(档位积分1:档位积分5, MATCH(F20, 档位积分1:档位积分5, 1)+1)))</f>
        <v>2500</v>
      </c>
      <c r="G21" s="67" t="str">
        <f>IF(H20&gt;=MAX(档位积分1:档位积分5), "已是最高档",
   IF(H20&lt;MIN(档位积分1:档位积分5), INDEX(第1档:第5档, 1),
      INDEX(第1档:第5档, MATCH(H20, 档位积分1:档位积分5, 1)+1)))</f>
        <v>第2档</v>
      </c>
      <c r="H21" s="95">
        <f>IF(H20&gt;=MAX(档位积分1:档位积分5), "",
   IF(H20&lt;MIN(档位积分1:档位积分5), MIN(档位积分1:档位积分5),
      INDEX(档位积分1:档位积分5, MATCH(H20, 档位积分1:档位积分5, 1)+1)))</f>
        <v>2500</v>
      </c>
      <c r="I21" s="67" t="str">
        <f>IF(J20&gt;=MAX(档位积分1:档位积分5), "已是最高档",
   IF(J20&lt;MIN(档位积分1:档位积分5), INDEX(第1档:第5档, 1),
      INDEX(第1档:第5档, MATCH(J20, 档位积分1:档位积分5, 1)+1)))</f>
        <v>第2档</v>
      </c>
      <c r="J21" s="95">
        <f>IF(J20&gt;=MAX(档位积分1:档位积分5), "",
   IF(J20&lt;MIN(档位积分1:档位积分5), MIN(档位积分1:档位积分5),
      INDEX(档位积分1:档位积分5, MATCH(J20, 档位积分1:档位积分5, 1)+1)))</f>
        <v>2500</v>
      </c>
      <c r="K21" s="67" t="str">
        <f>IF(L20&gt;=MAX(档位积分1:档位积分5), "已是最高档",
   IF(L20&lt;MIN(档位积分1:档位积分5), INDEX(第1档:第5档, 1),
      INDEX(第1档:第5档, MATCH(L20, 档位积分1:档位积分5, 1)+1)))</f>
        <v>第2档</v>
      </c>
      <c r="L21" s="95">
        <f>IF(L20&gt;=MAX(档位积分1:档位积分5), "",
   IF(L20&lt;MIN(档位积分1:档位积分5), MIN(档位积分1:档位积分5),
      INDEX(档位积分1:档位积分5, MATCH(L20, 档位积分1:档位积分5, 1)+1)))</f>
        <v>2500</v>
      </c>
      <c r="M21" s="67" t="str">
        <f>IF(N20&gt;=MAX(档位积分1:档位积分5), "已是最高档",
   IF(N20&lt;MIN(档位积分1:档位积分5), INDEX(第1档:第5档, 1),
      INDEX(第1档:第5档, MATCH(N20, 档位积分1:档位积分5, 1)+1)))</f>
        <v>第2档</v>
      </c>
      <c r="N21" s="95">
        <f>IF(N20&gt;=MAX(档位积分1:档位积分5), "",
   IF(N20&lt;MIN(档位积分1:档位积分5), MIN(档位积分1:档位积分5),
      INDEX(档位积分1:档位积分5, MATCH(N20, 档位积分1:档位积分5, 1)+1)))</f>
        <v>2500</v>
      </c>
      <c r="O21" s="67" t="str">
        <f>IF(P20&gt;=MAX(档位积分1:档位积分5), "已是最高档",
   IF(P20&lt;MIN(档位积分1:档位积分5), INDEX(第1档:第5档, 1),
      INDEX(第1档:第5档, MATCH(P20, 档位积分1:档位积分5, 1)+1)))</f>
        <v>第4档</v>
      </c>
      <c r="P21" s="95">
        <f>IF(P20&gt;=MAX(档位积分1:档位积分5), "",
   IF(P20&lt;MIN(档位积分1:档位积分5), MIN(档位积分1:档位积分5),
      INDEX(档位积分1:档位积分5, MATCH(P20, 档位积分1:档位积分5, 1)+1)))</f>
        <v>9100</v>
      </c>
    </row>
    <row r="22" spans="2:16" ht="16.2" thickTop="1">
      <c r="B22" s="81" t="str">
        <f>"总"&amp;抽奖道具</f>
        <v>总制作券</v>
      </c>
      <c r="C22" s="67">
        <f>SUM(C4:C12)</f>
        <v>255</v>
      </c>
      <c r="D22" s="68">
        <f>C13*实测高级兑换道具数量*积分规则2</f>
        <v>0</v>
      </c>
      <c r="E22" s="67">
        <f>C22+SUM(E4:E12)</f>
        <v>380</v>
      </c>
      <c r="F22" s="68">
        <v>0</v>
      </c>
      <c r="G22" s="67">
        <f>E22+SUM(G4:G12)</f>
        <v>505</v>
      </c>
      <c r="H22" s="68">
        <v>0</v>
      </c>
      <c r="I22" s="67">
        <f>G22+SUM(I4:I12)</f>
        <v>630</v>
      </c>
      <c r="J22" s="68">
        <v>0</v>
      </c>
      <c r="K22" s="67">
        <f>I22+SUM(K4:K12)</f>
        <v>755</v>
      </c>
      <c r="L22" s="68">
        <v>0</v>
      </c>
      <c r="M22" s="67">
        <f>K22+SUM(M4:M12)</f>
        <v>880</v>
      </c>
      <c r="N22" s="68">
        <v>0</v>
      </c>
      <c r="O22" s="67">
        <f>M22+SUM(O4:O12)</f>
        <v>1220</v>
      </c>
      <c r="P22" s="68">
        <v>0</v>
      </c>
    </row>
    <row r="23" spans="2:16" ht="16.2" thickBot="1">
      <c r="B23" s="66" t="s">
        <v>57</v>
      </c>
      <c r="C23" s="5">
        <f>IFERROR(LOOKUP(D20,档位积分1:档位积分5,档位奖励1:档位奖励5),0)</f>
        <v>3</v>
      </c>
      <c r="D23" s="13">
        <f>C23*随机箱积分</f>
        <v>30.764999999999997</v>
      </c>
      <c r="E23" s="5">
        <f>IFERROR(LOOKUP(F20,档位积分1:档位积分5,档位奖励1:档位奖励5),0)+C23</f>
        <v>3</v>
      </c>
      <c r="F23" s="13">
        <f>E23*随机箱积分</f>
        <v>30.764999999999997</v>
      </c>
      <c r="G23" s="5">
        <f>IFERROR(LOOKUP(H20,档位积分1:档位积分5,档位奖励1:档位奖励5),0)+E23</f>
        <v>3</v>
      </c>
      <c r="H23" s="13">
        <f>G23*随机箱积分</f>
        <v>30.764999999999997</v>
      </c>
      <c r="I23" s="5">
        <f>IFERROR(LOOKUP(J20,档位积分1:档位积分5,档位奖励1:档位奖励5),0)+G23</f>
        <v>3</v>
      </c>
      <c r="J23" s="13">
        <f>I23*随机箱积分</f>
        <v>30.764999999999997</v>
      </c>
      <c r="K23" s="5">
        <f>IFERROR(LOOKUP(L20,档位积分1:档位积分5,档位奖励1:档位奖励5),0)+I23</f>
        <v>3</v>
      </c>
      <c r="L23" s="13">
        <f>K23*随机箱积分</f>
        <v>30.764999999999997</v>
      </c>
      <c r="M23" s="5">
        <f>IFERROR(LOOKUP(N20,档位积分1:档位积分5,档位奖励1:档位奖励5),0)+K23</f>
        <v>3</v>
      </c>
      <c r="N23" s="13">
        <f>M23*随机箱积分</f>
        <v>30.764999999999997</v>
      </c>
      <c r="O23" s="5">
        <f>IFERROR(LOOKUP(P20,档位积分1:档位积分5,档位奖励1:档位奖励5),0)+M23</f>
        <v>17</v>
      </c>
      <c r="P23" s="13">
        <f>O23*随机箱积分</f>
        <v>174.33499999999998</v>
      </c>
    </row>
    <row r="24" spans="2:16" ht="16.2" thickTop="1">
      <c r="B24" s="69" t="str">
        <f>普通兑换道具</f>
        <v>普通卷轴</v>
      </c>
      <c r="C24" s="86">
        <f>C13*普通兑换道具数量</f>
        <v>0</v>
      </c>
      <c r="D24" s="68"/>
      <c r="E24" s="86">
        <f>E13*普通兑换道具数量+C24</f>
        <v>0</v>
      </c>
      <c r="F24" s="87"/>
      <c r="G24" s="86">
        <f>G13*普通兑换道具数量+E24</f>
        <v>0</v>
      </c>
      <c r="H24" s="87"/>
      <c r="I24" s="86">
        <f>I13*普通兑换道具数量+G24</f>
        <v>0</v>
      </c>
      <c r="J24" s="87"/>
      <c r="K24" s="86">
        <f>K13*普通兑换道具数量+I24</f>
        <v>0</v>
      </c>
      <c r="L24" s="87"/>
      <c r="M24" s="86">
        <f>M13*普通兑换道具数量+K24</f>
        <v>0</v>
      </c>
      <c r="N24" s="87"/>
      <c r="O24" s="86">
        <f>O13*普通兑换道具数量+M24-O17*24</f>
        <v>14335</v>
      </c>
      <c r="P24" s="68"/>
    </row>
    <row r="25" spans="2:16" ht="16.2" thickBot="1">
      <c r="B25" s="70" t="str">
        <f>高级兑换道具</f>
        <v>高级卷轴</v>
      </c>
      <c r="C25" s="88">
        <f>C13*高级兑换道具数量+C15*随机箱高级道具</f>
        <v>0</v>
      </c>
      <c r="D25" s="13"/>
      <c r="E25" s="88">
        <f>E13*高级兑换道具数量+E15*随机箱高级道具+C25</f>
        <v>0</v>
      </c>
      <c r="F25" s="89"/>
      <c r="G25" s="88">
        <f>G13*高级兑换道具数量+G15*随机箱高级道具+E25</f>
        <v>0</v>
      </c>
      <c r="H25" s="89"/>
      <c r="I25" s="88">
        <f>I13*高级兑换道具数量+I15*随机箱高级道具+G25</f>
        <v>0</v>
      </c>
      <c r="J25" s="89"/>
      <c r="K25" s="88">
        <f>K13*高级兑换道具数量+K15*随机箱高级道具+I25</f>
        <v>0</v>
      </c>
      <c r="L25" s="89"/>
      <c r="M25" s="88">
        <f>M13*高级兑换道具数量+M15*随机箱高级道具+K25</f>
        <v>0</v>
      </c>
      <c r="N25" s="89"/>
      <c r="O25" s="88">
        <f>O13*高级兑换道具数量+O15*随机箱高级道具+M25+O17</f>
        <v>540.33500000000004</v>
      </c>
      <c r="P25" s="13"/>
    </row>
    <row r="26" spans="2:16" ht="16.2" thickTop="1">
      <c r="B26" s="172" t="s">
        <v>48</v>
      </c>
      <c r="C26" s="20">
        <v>0</v>
      </c>
      <c r="D26" s="21">
        <v>0</v>
      </c>
      <c r="E26" s="20">
        <v>0</v>
      </c>
      <c r="F26" s="21">
        <v>0</v>
      </c>
      <c r="G26" s="20">
        <v>0</v>
      </c>
      <c r="H26" s="21">
        <v>0</v>
      </c>
      <c r="I26" s="20">
        <v>0</v>
      </c>
      <c r="J26" s="21">
        <v>0</v>
      </c>
      <c r="K26" s="20">
        <v>0</v>
      </c>
      <c r="L26" s="21">
        <v>0</v>
      </c>
      <c r="M26" s="20">
        <v>0</v>
      </c>
      <c r="N26" s="21">
        <v>0</v>
      </c>
      <c r="O26" s="20">
        <v>0</v>
      </c>
      <c r="P26" s="21">
        <v>0</v>
      </c>
    </row>
    <row r="27" spans="2:16">
      <c r="B27" s="173"/>
      <c r="C27" s="76">
        <v>0</v>
      </c>
      <c r="D27" s="26">
        <v>0</v>
      </c>
      <c r="E27" s="76">
        <v>0</v>
      </c>
      <c r="F27" s="26">
        <v>0</v>
      </c>
      <c r="G27" s="76">
        <v>0</v>
      </c>
      <c r="H27" s="26">
        <v>0</v>
      </c>
      <c r="I27" s="76">
        <v>0</v>
      </c>
      <c r="J27" s="26">
        <v>0</v>
      </c>
      <c r="K27" s="76">
        <v>0</v>
      </c>
      <c r="L27" s="26">
        <v>0</v>
      </c>
      <c r="M27" s="76">
        <v>0</v>
      </c>
      <c r="N27" s="26">
        <v>0</v>
      </c>
      <c r="O27" s="76">
        <v>0</v>
      </c>
      <c r="P27" s="26">
        <v>0</v>
      </c>
    </row>
    <row r="28" spans="2:16" ht="16.2" thickBot="1">
      <c r="B28" s="174"/>
      <c r="C28" s="77"/>
      <c r="D28" s="78"/>
      <c r="E28" s="77"/>
      <c r="F28" s="78"/>
      <c r="G28" s="77"/>
      <c r="H28" s="78"/>
      <c r="I28" s="77"/>
      <c r="J28" s="78"/>
      <c r="K28" s="77"/>
      <c r="L28" s="78"/>
      <c r="M28" s="77"/>
      <c r="N28" s="78"/>
      <c r="O28" s="77"/>
      <c r="P28" s="78"/>
    </row>
    <row r="29" spans="2:16" ht="16.2" thickTop="1">
      <c r="B29" s="173" t="s">
        <v>49</v>
      </c>
      <c r="C29" s="20">
        <f>IFERROR(LOOKUP(C26,价格6:价格648,翡翠100:翡翠10000),0)</f>
        <v>0</v>
      </c>
      <c r="D29" s="21">
        <f>IFERROR(LOOKUP(D26,价格6:价格648,翡翠100:翡翠10000),0)</f>
        <v>0</v>
      </c>
      <c r="E29" s="20">
        <f>IFERROR(LOOKUP(E26,价格6:价格648,翡翠100:翡翠10000),0)</f>
        <v>0</v>
      </c>
      <c r="F29" s="21">
        <f>IFERROR(LOOKUP(F26,价格6:价格648,翡翠100:翡翠10000),0)</f>
        <v>0</v>
      </c>
      <c r="G29" s="20">
        <f>IFERROR(LOOKUP(G26,价格6:价格648,翡翠100:翡翠10000),0)</f>
        <v>0</v>
      </c>
      <c r="H29" s="21">
        <f>IFERROR(LOOKUP(H26,价格6:价格648,翡翠100:翡翠10000),0)</f>
        <v>0</v>
      </c>
      <c r="I29" s="20">
        <f>IFERROR(LOOKUP(I26,价格6:价格648,翡翠100:翡翠10000),0)</f>
        <v>0</v>
      </c>
      <c r="J29" s="21">
        <f>IFERROR(LOOKUP(J26,价格6:价格648,翡翠100:翡翠10000),0)</f>
        <v>0</v>
      </c>
      <c r="K29" s="20">
        <f>IFERROR(LOOKUP(K26,价格6:价格648,翡翠100:翡翠10000),0)</f>
        <v>0</v>
      </c>
      <c r="L29" s="21">
        <f>IFERROR(LOOKUP(L26,价格6:价格648,翡翠100:翡翠10000),0)</f>
        <v>0</v>
      </c>
      <c r="M29" s="20">
        <f>IFERROR(LOOKUP(M26,价格6:价格648,翡翠100:翡翠10000),0)</f>
        <v>0</v>
      </c>
      <c r="N29" s="21">
        <f>IFERROR(LOOKUP(N26,价格6:价格648,翡翠100:翡翠10000),0)</f>
        <v>0</v>
      </c>
      <c r="O29" s="20">
        <f>IFERROR(LOOKUP(O26,价格6:价格648,翡翠100:翡翠10000),0)</f>
        <v>0</v>
      </c>
      <c r="P29" s="21">
        <f>IFERROR(LOOKUP(P26,价格6:价格648,翡翠100:翡翠10000),0)</f>
        <v>0</v>
      </c>
    </row>
    <row r="30" spans="2:16">
      <c r="B30" s="173"/>
      <c r="C30" s="76">
        <f>IFERROR(LOOKUP(C27,价格6:价格648,翡翠100:翡翠10000),0)</f>
        <v>0</v>
      </c>
      <c r="D30" s="26">
        <f>IFERROR(LOOKUP(D27,价格6:价格648,翡翠100:翡翠10000),0)</f>
        <v>0</v>
      </c>
      <c r="E30" s="76">
        <f>IFERROR(LOOKUP(E27,价格6:价格648,翡翠100:翡翠10000),0)</f>
        <v>0</v>
      </c>
      <c r="F30" s="26">
        <f>IFERROR(LOOKUP(F27,价格6:价格648,翡翠100:翡翠10000),0)</f>
        <v>0</v>
      </c>
      <c r="G30" s="76">
        <f>IFERROR(LOOKUP(G27,价格6:价格648,翡翠100:翡翠10000),0)</f>
        <v>0</v>
      </c>
      <c r="H30" s="26">
        <f>IFERROR(LOOKUP(H27,价格6:价格648,翡翠100:翡翠10000),0)</f>
        <v>0</v>
      </c>
      <c r="I30" s="76">
        <f>IFERROR(LOOKUP(I27,价格6:价格648,翡翠100:翡翠10000),0)</f>
        <v>0</v>
      </c>
      <c r="J30" s="26">
        <f>IFERROR(LOOKUP(J27,价格6:价格648,翡翠100:翡翠10000),0)</f>
        <v>0</v>
      </c>
      <c r="K30" s="76">
        <f>IFERROR(LOOKUP(K27,价格6:价格648,翡翠100:翡翠10000),0)</f>
        <v>0</v>
      </c>
      <c r="L30" s="26">
        <f>IFERROR(LOOKUP(L27,价格6:价格648,翡翠100:翡翠10000),0)</f>
        <v>0</v>
      </c>
      <c r="M30" s="76">
        <f>IFERROR(LOOKUP(M27,价格6:价格648,翡翠100:翡翠10000),0)</f>
        <v>0</v>
      </c>
      <c r="N30" s="26">
        <f>IFERROR(LOOKUP(N27,价格6:价格648,翡翠100:翡翠10000),0)</f>
        <v>0</v>
      </c>
      <c r="O30" s="76">
        <f>IFERROR(LOOKUP(O27,价格6:价格648,翡翠100:翡翠10000),0)</f>
        <v>0</v>
      </c>
      <c r="P30" s="26">
        <v>0</v>
      </c>
    </row>
    <row r="31" spans="2:16" ht="16.2" thickBot="1">
      <c r="B31" s="174"/>
      <c r="C31" s="77"/>
      <c r="D31" s="78"/>
      <c r="E31" s="77"/>
      <c r="F31" s="78"/>
      <c r="G31" s="77"/>
      <c r="H31" s="78"/>
      <c r="I31" s="77"/>
      <c r="J31" s="78"/>
      <c r="K31" s="77"/>
      <c r="L31" s="78"/>
      <c r="M31" s="77"/>
      <c r="N31" s="78"/>
      <c r="O31" s="77"/>
      <c r="P31" s="78"/>
    </row>
    <row r="32" spans="2:16" ht="24.6" customHeight="1" thickTop="1">
      <c r="B32" s="173" t="s">
        <v>46</v>
      </c>
      <c r="C32" s="175" t="str">
        <f>SUM(C6,E6,G6,I6,K6,M6,O6)*钻石购买 &amp;"钻石"</f>
        <v>12900钻石</v>
      </c>
      <c r="D32" s="176"/>
      <c r="E32" s="176"/>
      <c r="F32" s="176"/>
      <c r="G32" s="176"/>
      <c r="H32" s="176"/>
      <c r="I32" s="181" t="str">
        <f>SUM(C26:P28) &amp;"元"</f>
        <v>0元</v>
      </c>
      <c r="J32" s="181"/>
      <c r="K32" s="181"/>
      <c r="L32" s="181"/>
      <c r="M32" s="166" t="str">
        <f>SUM(C29:P31) &amp; "翡翠"</f>
        <v>0翡翠</v>
      </c>
      <c r="N32" s="166"/>
      <c r="O32" s="166"/>
      <c r="P32" s="167"/>
    </row>
    <row r="33" spans="2:19" ht="22.8" thickBot="1">
      <c r="B33" s="174"/>
      <c r="C33" s="178" t="str">
        <f>"最终收益："&amp;ROUNDDOWN(O25,0)&amp;B25&amp;"+"&amp;ROUNDDOWN(O24,0)&amp;B24</f>
        <v>最终收益：540高级卷轴+14335普通卷轴</v>
      </c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80"/>
    </row>
    <row r="34" spans="2:19" ht="16.2" thickTop="1"/>
    <row r="38" spans="2:19" ht="38.4" customHeight="1"/>
    <row r="39" spans="2:19" ht="17.7" customHeight="1">
      <c r="B39" s="27"/>
      <c r="C39" s="27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2:19" ht="17.7" customHeight="1">
      <c r="B40" s="27"/>
      <c r="C40" s="6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2:19" ht="17.7" customHeight="1">
      <c r="B41" s="27"/>
      <c r="C41" s="59"/>
      <c r="D41" s="60"/>
      <c r="E41" s="60"/>
      <c r="F41" s="60"/>
      <c r="G41" s="60"/>
      <c r="H41" s="60"/>
      <c r="I41" s="60"/>
      <c r="J41" s="60"/>
      <c r="K41" s="10"/>
      <c r="L41" s="10"/>
      <c r="M41" s="10"/>
      <c r="N41" s="10"/>
      <c r="O41" s="10"/>
      <c r="P41" s="10"/>
    </row>
    <row r="42" spans="2:19" ht="17.7" customHeight="1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2:19">
      <c r="F43" s="177"/>
      <c r="G43" s="177"/>
      <c r="H43" s="177"/>
      <c r="I43" s="177"/>
      <c r="K43" s="170"/>
      <c r="L43" s="170"/>
      <c r="M43" s="170"/>
      <c r="N43" s="170"/>
      <c r="P43" s="170"/>
      <c r="Q43" s="170"/>
      <c r="R43" s="170"/>
      <c r="S43" s="170"/>
    </row>
    <row r="44" spans="2:19">
      <c r="K44" s="6"/>
      <c r="L44" s="6"/>
      <c r="M44" s="6"/>
      <c r="N44" s="6"/>
      <c r="P44" s="6"/>
      <c r="R44" s="6"/>
      <c r="S44" s="6"/>
    </row>
    <row r="45" spans="2:19">
      <c r="K45" s="6"/>
      <c r="L45" s="6"/>
      <c r="M45" s="6"/>
      <c r="N45" s="6"/>
      <c r="P45" s="6"/>
      <c r="R45" s="6"/>
      <c r="S45" s="6"/>
    </row>
    <row r="46" spans="2:19">
      <c r="K46" s="6"/>
      <c r="L46" s="6"/>
      <c r="M46" s="6"/>
      <c r="N46" s="6"/>
      <c r="P46" s="6"/>
      <c r="R46" s="6"/>
      <c r="S46" s="6"/>
    </row>
    <row r="47" spans="2:19">
      <c r="K47" s="6"/>
      <c r="L47" s="6"/>
      <c r="M47" s="6"/>
      <c r="N47" s="6"/>
      <c r="P47" s="25"/>
      <c r="R47" s="25"/>
      <c r="S47" s="6"/>
    </row>
    <row r="48" spans="2:19">
      <c r="G48" s="28"/>
      <c r="H48" s="28"/>
      <c r="I48" s="28"/>
      <c r="K48" s="6"/>
      <c r="M48" s="6"/>
      <c r="N48" s="6"/>
      <c r="O48" s="6"/>
      <c r="P48" s="6"/>
    </row>
    <row r="49" spans="2:16">
      <c r="F49" s="6"/>
      <c r="G49" s="6"/>
      <c r="H49" s="6"/>
      <c r="K49" s="6"/>
      <c r="M49" s="6"/>
      <c r="N49" s="6"/>
      <c r="O49" s="6"/>
      <c r="P49" s="6"/>
    </row>
    <row r="50" spans="2:16">
      <c r="B50" s="171"/>
      <c r="C50" s="171"/>
      <c r="D50" s="171"/>
      <c r="K50" s="170"/>
      <c r="L50" s="170"/>
      <c r="M50" s="170"/>
      <c r="N50" s="170"/>
    </row>
    <row r="51" spans="2:16">
      <c r="K51" s="6"/>
      <c r="M51" s="6"/>
      <c r="N51" s="6"/>
      <c r="P51" s="25"/>
    </row>
    <row r="52" spans="2:16">
      <c r="K52" s="6"/>
      <c r="M52" s="6"/>
      <c r="N52" s="6"/>
      <c r="P52" s="25"/>
    </row>
    <row r="53" spans="2:16">
      <c r="K53" s="6"/>
      <c r="M53" s="6"/>
      <c r="N53" s="6"/>
      <c r="P53" s="25"/>
    </row>
    <row r="54" spans="2:16">
      <c r="B54" s="171"/>
      <c r="C54" s="171"/>
      <c r="D54" s="171"/>
      <c r="K54" s="6"/>
      <c r="M54" s="6"/>
      <c r="N54" s="6"/>
      <c r="P54" s="25"/>
    </row>
    <row r="55" spans="2:16">
      <c r="K55" s="6"/>
      <c r="M55" s="6"/>
      <c r="N55" s="6"/>
      <c r="P55" s="25"/>
    </row>
    <row r="56" spans="2:16">
      <c r="K56" s="6"/>
      <c r="M56" s="6"/>
      <c r="N56" s="6"/>
      <c r="P56" s="25"/>
    </row>
    <row r="57" spans="2:16">
      <c r="K57" s="6"/>
      <c r="M57" s="6"/>
      <c r="N57" s="6"/>
      <c r="P57" s="25"/>
    </row>
    <row r="58" spans="2:16">
      <c r="K58" s="6"/>
      <c r="M58" s="6"/>
      <c r="N58" s="6"/>
      <c r="P58" s="25"/>
    </row>
    <row r="59" spans="2:16">
      <c r="P59" s="25"/>
    </row>
    <row r="60" spans="2:16">
      <c r="P60" s="25"/>
    </row>
    <row r="61" spans="2:16">
      <c r="P61" s="25"/>
    </row>
    <row r="62" spans="2:16">
      <c r="P62" s="25"/>
    </row>
    <row r="63" spans="2:16">
      <c r="P63" s="25"/>
    </row>
    <row r="64" spans="2:16">
      <c r="P64" s="25"/>
    </row>
    <row r="65" spans="16:16">
      <c r="P65" s="25"/>
    </row>
    <row r="66" spans="16:16">
      <c r="P66" s="25"/>
    </row>
    <row r="67" spans="16:16">
      <c r="P67" s="25"/>
    </row>
    <row r="68" spans="16:16">
      <c r="P68" s="25"/>
    </row>
    <row r="69" spans="16:16">
      <c r="P69" s="25"/>
    </row>
    <row r="70" spans="16:16">
      <c r="P70" s="25"/>
    </row>
    <row r="71" spans="16:16">
      <c r="P71" s="25"/>
    </row>
    <row r="72" spans="16:16">
      <c r="P72" s="25"/>
    </row>
    <row r="73" spans="16:16">
      <c r="P73" s="25"/>
    </row>
    <row r="74" spans="16:16">
      <c r="P74" s="25"/>
    </row>
  </sheetData>
  <mergeCells count="20">
    <mergeCell ref="O2:P2"/>
    <mergeCell ref="B26:B28"/>
    <mergeCell ref="B29:B31"/>
    <mergeCell ref="B32:B33"/>
    <mergeCell ref="C32:H32"/>
    <mergeCell ref="I32:L32"/>
    <mergeCell ref="M32:P32"/>
    <mergeCell ref="C33:P33"/>
    <mergeCell ref="C2:D2"/>
    <mergeCell ref="E2:F2"/>
    <mergeCell ref="G2:H2"/>
    <mergeCell ref="I2:J2"/>
    <mergeCell ref="K2:L2"/>
    <mergeCell ref="M2:N2"/>
    <mergeCell ref="K43:N43"/>
    <mergeCell ref="P43:S43"/>
    <mergeCell ref="B50:D50"/>
    <mergeCell ref="K50:N50"/>
    <mergeCell ref="B54:D54"/>
    <mergeCell ref="F43:I43"/>
  </mergeCells>
  <phoneticPr fontId="24" type="noConversion"/>
  <conditionalFormatting sqref="B6:P6">
    <cfRule type="cellIs" dxfId="13" priority="4" operator="greaterThan">
      <formula>0</formula>
    </cfRule>
  </conditionalFormatting>
  <conditionalFormatting sqref="B10:P10">
    <cfRule type="cellIs" dxfId="12" priority="1" operator="greaterThan">
      <formula>0</formula>
    </cfRule>
  </conditionalFormatting>
  <conditionalFormatting sqref="B11:P12">
    <cfRule type="cellIs" dxfId="11" priority="3" operator="greaterThan">
      <formula>0</formula>
    </cfRule>
  </conditionalFormatting>
  <conditionalFormatting sqref="C7:P7">
    <cfRule type="cellIs" dxfId="10" priority="2" operator="greaterThan">
      <formula>0</formula>
    </cfRule>
  </conditionalFormatting>
  <conditionalFormatting sqref="C13:P13">
    <cfRule type="cellIs" dxfId="9" priority="7" operator="greaterThan">
      <formula>0</formula>
    </cfRule>
  </conditionalFormatting>
  <conditionalFormatting sqref="C15:P15">
    <cfRule type="cellIs" dxfId="8" priority="5" operator="greaterThan">
      <formula>0</formula>
    </cfRule>
  </conditionalFormatting>
  <conditionalFormatting sqref="C17:P17">
    <cfRule type="cellIs" dxfId="7" priority="6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B516-F2A8-42ED-A690-2A6A6E2E9973}">
  <dimension ref="A1:U33"/>
  <sheetViews>
    <sheetView tabSelected="1" workbookViewId="0">
      <selection activeCell="K4" sqref="K4"/>
    </sheetView>
  </sheetViews>
  <sheetFormatPr defaultRowHeight="15.6"/>
  <cols>
    <col min="1" max="1" width="4.44140625" style="34" customWidth="1"/>
    <col min="2" max="2" width="8.88671875" style="34" customWidth="1"/>
    <col min="3" max="3" width="53.109375" style="34" customWidth="1"/>
    <col min="4" max="4" width="9.109375" style="34" bestFit="1" customWidth="1"/>
    <col min="5" max="7" width="11.109375" style="34" bestFit="1" customWidth="1"/>
    <col min="8" max="9" width="15.77734375" style="34" customWidth="1"/>
    <col min="10" max="10" width="8.88671875" style="34"/>
    <col min="11" max="11" width="17.44140625" style="34" customWidth="1"/>
    <col min="12" max="12" width="16.77734375" style="34" customWidth="1"/>
    <col min="13" max="13" width="14.109375" style="34" customWidth="1"/>
    <col min="14" max="14" width="8.88671875" style="34"/>
    <col min="15" max="15" width="17.44140625" style="34" customWidth="1"/>
    <col min="16" max="16384" width="8.88671875" style="34"/>
  </cols>
  <sheetData>
    <row r="1" spans="2:21" ht="16.2" thickBot="1"/>
    <row r="2" spans="2:21" ht="24" customHeight="1" thickTop="1" thickBot="1">
      <c r="B2" s="133" t="s">
        <v>159</v>
      </c>
      <c r="C2" s="134"/>
      <c r="D2" s="134"/>
      <c r="E2" s="134"/>
      <c r="F2" s="134"/>
      <c r="G2" s="134"/>
      <c r="H2" s="134"/>
      <c r="I2" s="135"/>
      <c r="R2" s="61"/>
    </row>
    <row r="3" spans="2:21" ht="16.8" customHeight="1" thickTop="1" thickBot="1">
      <c r="B3" s="49"/>
      <c r="C3" s="50"/>
      <c r="D3" s="50"/>
      <c r="E3" s="50"/>
      <c r="F3" s="50"/>
      <c r="G3" s="50"/>
      <c r="H3" s="50"/>
      <c r="I3" s="51"/>
      <c r="R3" s="61"/>
    </row>
    <row r="4" spans="2:21" ht="17.55" customHeight="1" thickTop="1">
      <c r="B4" s="136" t="s">
        <v>45</v>
      </c>
      <c r="C4" s="137"/>
      <c r="D4" s="136" t="str">
        <f>"期望"&amp;普通兑换道具</f>
        <v>期望普通卷轴</v>
      </c>
      <c r="E4" s="140"/>
      <c r="F4" s="137"/>
      <c r="G4" s="140" t="str">
        <f>"期望"&amp;高级兑换道具</f>
        <v>期望高级卷轴</v>
      </c>
      <c r="H4" s="140"/>
      <c r="I4" s="137"/>
      <c r="R4" s="61"/>
    </row>
    <row r="5" spans="2:21" ht="17.55" customHeight="1">
      <c r="B5" s="138"/>
      <c r="C5" s="139"/>
      <c r="D5" s="138"/>
      <c r="E5" s="141"/>
      <c r="F5" s="139"/>
      <c r="G5" s="141"/>
      <c r="H5" s="141"/>
      <c r="I5" s="139"/>
      <c r="R5" s="61"/>
      <c r="T5" s="62"/>
      <c r="U5" s="62"/>
    </row>
    <row r="6" spans="2:21" ht="20.85" customHeight="1" thickBot="1">
      <c r="B6" s="142" t="str">
        <f>哥布林弹珠1.3w!C32</f>
        <v>12900钻石</v>
      </c>
      <c r="C6" s="143"/>
      <c r="D6" s="144">
        <f>哥布林弹珠1.3w!O24</f>
        <v>14335</v>
      </c>
      <c r="E6" s="145"/>
      <c r="F6" s="146"/>
      <c r="G6" s="147">
        <f>哥布林弹珠1.3w!O25</f>
        <v>540.33500000000004</v>
      </c>
      <c r="H6" s="147"/>
      <c r="I6" s="148"/>
      <c r="R6" s="61"/>
      <c r="T6" s="62"/>
      <c r="U6" s="62"/>
    </row>
    <row r="7" spans="2:21" ht="13.35" customHeight="1" thickTop="1" thickBot="1">
      <c r="B7" s="52"/>
      <c r="C7" s="53"/>
      <c r="D7" s="54"/>
      <c r="E7" s="54"/>
      <c r="F7" s="55"/>
      <c r="G7" s="55"/>
      <c r="H7" s="56"/>
      <c r="I7" s="57"/>
      <c r="R7" s="61"/>
      <c r="T7" s="63"/>
      <c r="U7" s="63"/>
    </row>
    <row r="8" spans="2:21" ht="17.55" customHeight="1" thickTop="1">
      <c r="B8" s="121" t="s">
        <v>158</v>
      </c>
      <c r="C8" s="122"/>
      <c r="D8" s="122"/>
      <c r="E8" s="122"/>
      <c r="F8" s="122"/>
      <c r="G8" s="122"/>
      <c r="H8" s="122"/>
      <c r="I8" s="123"/>
      <c r="R8" s="61"/>
    </row>
    <row r="9" spans="2:21" ht="17.55" customHeight="1" thickBot="1">
      <c r="B9" s="124"/>
      <c r="C9" s="125"/>
      <c r="D9" s="125"/>
      <c r="E9" s="125"/>
      <c r="F9" s="125"/>
      <c r="G9" s="125"/>
      <c r="H9" s="125"/>
      <c r="I9" s="126"/>
      <c r="R9" s="61"/>
    </row>
    <row r="10" spans="2:21" ht="16.8" customHeight="1" thickTop="1" thickBot="1">
      <c r="B10" s="49"/>
      <c r="C10" s="50"/>
      <c r="D10" s="50"/>
      <c r="E10" s="50"/>
      <c r="F10" s="50"/>
      <c r="G10" s="50"/>
      <c r="H10" s="50"/>
      <c r="I10" s="51"/>
      <c r="R10" s="61"/>
    </row>
    <row r="11" spans="2:21" ht="19.2" customHeight="1" thickTop="1">
      <c r="B11" s="43" t="s">
        <v>35</v>
      </c>
      <c r="C11" s="44" t="s">
        <v>44</v>
      </c>
      <c r="D11" s="44" t="str">
        <f>哥布林弹珠1.3w!B20</f>
        <v>目标档位</v>
      </c>
      <c r="E11" s="44" t="str">
        <f>哥布林弹珠1.3w!B13</f>
        <v>使用制作券</v>
      </c>
      <c r="F11" s="44" t="str">
        <f>哥布林弹珠1.3w!B14</f>
        <v>剩余制作券</v>
      </c>
      <c r="G11" s="44" t="str">
        <f>哥布林弹珠1.3w!B16</f>
        <v>剩余随机箱</v>
      </c>
      <c r="H11" s="44" t="str">
        <f>"期望"&amp;普通兑换道具</f>
        <v>期望普通卷轴</v>
      </c>
      <c r="I11" s="45" t="str">
        <f>"期望"&amp;高级兑换道具</f>
        <v>期望高级卷轴</v>
      </c>
      <c r="R11" s="61"/>
    </row>
    <row r="12" spans="2:21" ht="24" customHeight="1">
      <c r="B12" s="41" t="s">
        <v>36</v>
      </c>
      <c r="C12" s="37" t="s">
        <v>137</v>
      </c>
      <c r="D12" s="37" t="str">
        <f>哥布林弹珠1.3w!C20</f>
        <v>第2档</v>
      </c>
      <c r="E12" s="37">
        <f>哥布林弹珠1.3w!C13</f>
        <v>0</v>
      </c>
      <c r="F12" s="37">
        <f>哥布林弹珠1.3w!C14</f>
        <v>255</v>
      </c>
      <c r="G12" s="37">
        <f>哥布林弹珠1.3w!C16</f>
        <v>3</v>
      </c>
      <c r="H12" s="38">
        <f>哥布林弹珠1.3w!C24</f>
        <v>0</v>
      </c>
      <c r="I12" s="42">
        <f>哥布林弹珠1.3w!C25</f>
        <v>0</v>
      </c>
      <c r="R12" s="61"/>
    </row>
    <row r="13" spans="2:21" ht="24" customHeight="1">
      <c r="B13" s="39" t="s">
        <v>37</v>
      </c>
      <c r="C13" s="35" t="s">
        <v>144</v>
      </c>
      <c r="D13" s="35" t="str">
        <f>哥布林弹珠1.3w!E20</f>
        <v>第1档</v>
      </c>
      <c r="E13" s="35">
        <f>哥布林弹珠1.3w!E13</f>
        <v>0</v>
      </c>
      <c r="F13" s="35">
        <f>哥布林弹珠1.3w!E14</f>
        <v>380</v>
      </c>
      <c r="G13" s="35">
        <f>哥布林弹珠1.3w!E16</f>
        <v>3</v>
      </c>
      <c r="H13" s="36">
        <f>哥布林弹珠1.3w!E24</f>
        <v>0</v>
      </c>
      <c r="I13" s="40">
        <f>哥布林弹珠1.3w!E25</f>
        <v>0</v>
      </c>
      <c r="R13" s="61"/>
    </row>
    <row r="14" spans="2:21" ht="24" customHeight="1">
      <c r="B14" s="39" t="s">
        <v>38</v>
      </c>
      <c r="C14" s="35" t="s">
        <v>144</v>
      </c>
      <c r="D14" s="35" t="str">
        <f>哥布林弹珠1.3w!G20</f>
        <v>第1档</v>
      </c>
      <c r="E14" s="36">
        <f>哥布林弹珠1.3w!G13</f>
        <v>0</v>
      </c>
      <c r="F14" s="36">
        <f>哥布林弹珠1.3w!G14</f>
        <v>505</v>
      </c>
      <c r="G14" s="36">
        <f>哥布林弹珠1.3w!G16</f>
        <v>3</v>
      </c>
      <c r="H14" s="36">
        <f>哥布林弹珠1.3w!G24</f>
        <v>0</v>
      </c>
      <c r="I14" s="40">
        <f>哥布林弹珠1.3w!G25</f>
        <v>0</v>
      </c>
      <c r="R14" s="61"/>
    </row>
    <row r="15" spans="2:21" ht="24" customHeight="1">
      <c r="B15" s="39" t="s">
        <v>39</v>
      </c>
      <c r="C15" s="35" t="s">
        <v>144</v>
      </c>
      <c r="D15" s="35" t="str">
        <f>哥布林弹珠1.3w!I20</f>
        <v>第1档</v>
      </c>
      <c r="E15" s="36">
        <f>哥布林弹珠1.3w!I13</f>
        <v>0</v>
      </c>
      <c r="F15" s="36">
        <f>哥布林弹珠1.3w!I14</f>
        <v>630</v>
      </c>
      <c r="G15" s="36">
        <f>哥布林弹珠1.3w!I16</f>
        <v>3</v>
      </c>
      <c r="H15" s="36">
        <f>哥布林弹珠1.3w!I24</f>
        <v>0</v>
      </c>
      <c r="I15" s="40">
        <f>哥布林弹珠1.3w!I25</f>
        <v>0</v>
      </c>
      <c r="R15" s="61"/>
    </row>
    <row r="16" spans="2:21" ht="24" customHeight="1">
      <c r="B16" s="39" t="s">
        <v>40</v>
      </c>
      <c r="C16" s="35" t="s">
        <v>144</v>
      </c>
      <c r="D16" s="35" t="str">
        <f>哥布林弹珠1.3w!K20</f>
        <v>第1档</v>
      </c>
      <c r="E16" s="35">
        <f>哥布林弹珠1.3w!K13</f>
        <v>0</v>
      </c>
      <c r="F16" s="35">
        <f>哥布林弹珠1.3w!K14</f>
        <v>755</v>
      </c>
      <c r="G16" s="35">
        <f>哥布林弹珠1.3w!K16</f>
        <v>3</v>
      </c>
      <c r="H16" s="36">
        <f>哥布林弹珠1.3w!K24</f>
        <v>0</v>
      </c>
      <c r="I16" s="40">
        <f>哥布林弹珠1.3w!K25</f>
        <v>0</v>
      </c>
      <c r="R16" s="61"/>
    </row>
    <row r="17" spans="1:18" ht="24" customHeight="1">
      <c r="B17" s="39" t="s">
        <v>41</v>
      </c>
      <c r="C17" s="35" t="s">
        <v>144</v>
      </c>
      <c r="D17" s="35" t="str">
        <f>哥布林弹珠1.3w!M20</f>
        <v>第1档</v>
      </c>
      <c r="E17" s="35">
        <f>哥布林弹珠1.3w!M13</f>
        <v>0</v>
      </c>
      <c r="F17" s="35">
        <f>哥布林弹珠1.3w!M14</f>
        <v>880</v>
      </c>
      <c r="G17" s="35">
        <f>哥布林弹珠1.3w!M16</f>
        <v>3</v>
      </c>
      <c r="H17" s="36">
        <f>哥布林弹珠1.3w!M24</f>
        <v>0</v>
      </c>
      <c r="I17" s="40">
        <f>哥布林弹珠1.3w!M25</f>
        <v>0</v>
      </c>
      <c r="R17" s="61"/>
    </row>
    <row r="18" spans="1:18" ht="38.4" customHeight="1" thickBot="1">
      <c r="A18" s="34" t="s">
        <v>47</v>
      </c>
      <c r="B18" s="46" t="s">
        <v>42</v>
      </c>
      <c r="C18" s="47" t="s">
        <v>145</v>
      </c>
      <c r="D18" s="48" t="str">
        <f>哥布林弹珠1.3w!O20</f>
        <v>第3档</v>
      </c>
      <c r="E18" s="47">
        <f>哥布林弹珠1.3w!O13</f>
        <v>1220</v>
      </c>
      <c r="F18" s="47">
        <f>哥布林弹珠1.3w!O14</f>
        <v>0</v>
      </c>
      <c r="G18" s="47">
        <f>哥布林弹珠1.3w!O16</f>
        <v>0</v>
      </c>
      <c r="H18" s="48">
        <f>哥布林弹珠1.3w!O24</f>
        <v>14335</v>
      </c>
      <c r="I18" s="58">
        <f>哥布林弹珠1.3w!O25</f>
        <v>540.33500000000004</v>
      </c>
      <c r="R18" s="61"/>
    </row>
    <row r="19" spans="1:18" ht="17.399999999999999" customHeight="1" thickTop="1" thickBot="1">
      <c r="B19" s="49"/>
      <c r="C19" s="50"/>
      <c r="D19" s="50"/>
      <c r="E19" s="50"/>
      <c r="F19" s="50"/>
      <c r="G19" s="50"/>
      <c r="H19" s="50"/>
      <c r="I19" s="51"/>
      <c r="R19" s="61"/>
    </row>
    <row r="20" spans="1:18" ht="18.45" customHeight="1" thickTop="1">
      <c r="B20" s="127" t="s">
        <v>43</v>
      </c>
      <c r="C20" s="128"/>
      <c r="D20" s="128"/>
      <c r="E20" s="128"/>
      <c r="F20" s="128"/>
      <c r="G20" s="128"/>
      <c r="H20" s="128"/>
      <c r="I20" s="129"/>
      <c r="R20" s="61"/>
    </row>
    <row r="21" spans="1:18" ht="66" customHeight="1" thickBot="1">
      <c r="B21" s="130" t="s">
        <v>146</v>
      </c>
      <c r="C21" s="131"/>
      <c r="D21" s="131"/>
      <c r="E21" s="131"/>
      <c r="F21" s="131"/>
      <c r="G21" s="131"/>
      <c r="H21" s="131"/>
      <c r="I21" s="132"/>
      <c r="R21" s="61"/>
    </row>
    <row r="22" spans="1:18" ht="34.5" customHeight="1" thickTop="1">
      <c r="B22" s="64"/>
      <c r="C22" s="64"/>
      <c r="D22" s="64"/>
      <c r="E22" s="64"/>
      <c r="F22" s="64"/>
      <c r="G22" s="64"/>
      <c r="H22" s="64"/>
      <c r="I22" s="64"/>
      <c r="R22" s="61"/>
    </row>
    <row r="23" spans="1:18" ht="12.9" customHeight="1">
      <c r="B23" s="64"/>
      <c r="C23" s="64"/>
      <c r="D23" s="64"/>
      <c r="E23" s="64"/>
      <c r="F23" s="64"/>
      <c r="G23" s="64"/>
      <c r="H23" s="64"/>
      <c r="I23" s="64"/>
      <c r="R23" s="61"/>
    </row>
    <row r="24" spans="1:18" ht="15.6" customHeight="1">
      <c r="R24" s="61"/>
    </row>
    <row r="25" spans="1:18" ht="16.2" customHeight="1">
      <c r="B25" s="65"/>
      <c r="C25" s="65"/>
      <c r="D25" s="65"/>
      <c r="E25" s="65"/>
      <c r="F25" s="65"/>
      <c r="G25" s="65"/>
      <c r="H25" s="65"/>
      <c r="I25" s="65"/>
      <c r="R25" s="61"/>
    </row>
    <row r="26" spans="1:18" ht="15.3" customHeight="1">
      <c r="B26" s="65"/>
      <c r="C26" s="65"/>
      <c r="D26" s="65"/>
      <c r="E26" s="65"/>
      <c r="F26" s="65"/>
      <c r="G26" s="65"/>
      <c r="H26" s="65"/>
      <c r="I26" s="65"/>
      <c r="R26" s="61"/>
    </row>
    <row r="27" spans="1:18" ht="22.95" customHeight="1">
      <c r="B27" s="65"/>
      <c r="C27" s="65"/>
      <c r="D27" s="65"/>
      <c r="E27" s="65"/>
      <c r="F27" s="65"/>
      <c r="G27" s="65"/>
      <c r="H27" s="65"/>
      <c r="I27" s="65"/>
      <c r="R27" s="61"/>
    </row>
    <row r="28" spans="1:18" ht="22.95" customHeight="1">
      <c r="N28" s="61"/>
      <c r="O28" s="61"/>
      <c r="P28" s="61"/>
      <c r="Q28" s="61"/>
      <c r="R28" s="61"/>
    </row>
    <row r="29" spans="1:18" ht="22.95" customHeight="1">
      <c r="N29" s="61"/>
      <c r="O29" s="61"/>
      <c r="P29" s="61"/>
      <c r="Q29" s="61"/>
      <c r="R29" s="61"/>
    </row>
    <row r="30" spans="1:18" ht="15.6" customHeight="1">
      <c r="N30" s="61"/>
      <c r="O30" s="61"/>
      <c r="P30" s="61"/>
      <c r="Q30" s="61"/>
      <c r="R30" s="61"/>
    </row>
    <row r="31" spans="1:18" ht="20.55" customHeight="1">
      <c r="N31" s="61"/>
      <c r="O31" s="61"/>
      <c r="P31" s="61"/>
      <c r="Q31" s="61"/>
      <c r="R31" s="61"/>
    </row>
    <row r="32" spans="1:18" ht="15.6" customHeight="1">
      <c r="N32" s="61"/>
      <c r="O32" s="61"/>
      <c r="P32" s="61"/>
      <c r="Q32" s="61"/>
      <c r="R32" s="61"/>
    </row>
    <row r="33" ht="17.850000000000001" customHeight="1"/>
  </sheetData>
  <mergeCells count="10">
    <mergeCell ref="B8:I9"/>
    <mergeCell ref="B20:I20"/>
    <mergeCell ref="B21:I21"/>
    <mergeCell ref="B2:I2"/>
    <mergeCell ref="B4:C5"/>
    <mergeCell ref="D4:F5"/>
    <mergeCell ref="G4:I5"/>
    <mergeCell ref="B6:C6"/>
    <mergeCell ref="D6:F6"/>
    <mergeCell ref="G6:I6"/>
  </mergeCells>
  <phoneticPr fontId="24" type="noConversion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5A29-C12F-46DF-8456-E9A4DAB84B09}">
  <dimension ref="B1:S74"/>
  <sheetViews>
    <sheetView topLeftCell="A16" workbookViewId="0">
      <selection activeCell="R13" sqref="R13"/>
    </sheetView>
  </sheetViews>
  <sheetFormatPr defaultRowHeight="15.6"/>
  <cols>
    <col min="1" max="1" width="3.77734375" style="1" customWidth="1"/>
    <col min="2" max="2" width="16.109375" style="1" customWidth="1"/>
    <col min="3" max="16" width="10.77734375" style="1" customWidth="1"/>
    <col min="17" max="17" width="7.77734375" style="1" customWidth="1"/>
    <col min="18" max="18" width="13.5546875" style="1" customWidth="1"/>
    <col min="19" max="19" width="9.88671875" style="1" customWidth="1"/>
    <col min="20" max="20" width="13.6640625" style="1" customWidth="1"/>
    <col min="21" max="21" width="14.6640625" style="1" customWidth="1"/>
    <col min="22" max="16384" width="8.88671875" style="1"/>
  </cols>
  <sheetData>
    <row r="1" spans="2:18" ht="16.2" thickBot="1"/>
    <row r="2" spans="2:18" ht="16.2" thickTop="1">
      <c r="B2" s="14"/>
      <c r="C2" s="168" t="s">
        <v>25</v>
      </c>
      <c r="D2" s="169"/>
      <c r="E2" s="168" t="s">
        <v>26</v>
      </c>
      <c r="F2" s="169"/>
      <c r="G2" s="168" t="s">
        <v>27</v>
      </c>
      <c r="H2" s="169"/>
      <c r="I2" s="168" t="s">
        <v>28</v>
      </c>
      <c r="J2" s="169"/>
      <c r="K2" s="168" t="s">
        <v>29</v>
      </c>
      <c r="L2" s="169"/>
      <c r="M2" s="168" t="s">
        <v>30</v>
      </c>
      <c r="N2" s="169"/>
      <c r="O2" s="168" t="s">
        <v>31</v>
      </c>
      <c r="P2" s="169"/>
    </row>
    <row r="3" spans="2:18" ht="16.2" thickBot="1">
      <c r="B3" s="15"/>
      <c r="C3" s="3" t="str">
        <f>抽奖道具</f>
        <v>制作券</v>
      </c>
      <c r="D3" s="4" t="s">
        <v>6</v>
      </c>
      <c r="E3" s="3" t="str">
        <f>抽奖道具</f>
        <v>制作券</v>
      </c>
      <c r="F3" s="4" t="s">
        <v>6</v>
      </c>
      <c r="G3" s="3" t="str">
        <f>抽奖道具</f>
        <v>制作券</v>
      </c>
      <c r="H3" s="4" t="s">
        <v>6</v>
      </c>
      <c r="I3" s="3" t="str">
        <f>抽奖道具</f>
        <v>制作券</v>
      </c>
      <c r="J3" s="4" t="s">
        <v>6</v>
      </c>
      <c r="K3" s="3" t="str">
        <f>抽奖道具</f>
        <v>制作券</v>
      </c>
      <c r="L3" s="4" t="s">
        <v>6</v>
      </c>
      <c r="M3" s="3" t="str">
        <f>抽奖道具</f>
        <v>制作券</v>
      </c>
      <c r="N3" s="4" t="s">
        <v>6</v>
      </c>
      <c r="O3" s="3" t="str">
        <f>抽奖道具</f>
        <v>制作券</v>
      </c>
      <c r="P3" s="4" t="s">
        <v>6</v>
      </c>
    </row>
    <row r="4" spans="2:18" ht="16.2" thickTop="1">
      <c r="B4" s="69" t="s">
        <v>55</v>
      </c>
      <c r="C4" s="3">
        <v>5</v>
      </c>
      <c r="D4" s="4">
        <f t="shared" ref="D4:P12" si="0">C4*积分规则1</f>
        <v>50</v>
      </c>
      <c r="E4" s="3"/>
      <c r="F4" s="4">
        <f t="shared" ref="F4:F12" si="1">E4*积分规则1</f>
        <v>0</v>
      </c>
      <c r="G4" s="3"/>
      <c r="H4" s="4">
        <f t="shared" ref="H4:H12" si="2">G4*积分规则1</f>
        <v>0</v>
      </c>
      <c r="I4" s="3"/>
      <c r="J4" s="4">
        <f t="shared" ref="J4:J12" si="3">I4*积分规则1</f>
        <v>0</v>
      </c>
      <c r="K4" s="3"/>
      <c r="L4" s="4">
        <f t="shared" ref="L4:L12" si="4">K4*积分规则1</f>
        <v>0</v>
      </c>
      <c r="M4" s="3"/>
      <c r="N4" s="4">
        <f t="shared" ref="N4:N12" si="5">M4*积分规则1</f>
        <v>0</v>
      </c>
      <c r="O4" s="3"/>
      <c r="P4" s="4">
        <f t="shared" ref="P4:P11" si="6">O4*积分规则1</f>
        <v>0</v>
      </c>
    </row>
    <row r="5" spans="2:18">
      <c r="B5" s="15" t="s">
        <v>32</v>
      </c>
      <c r="C5" s="3">
        <v>125</v>
      </c>
      <c r="D5" s="4">
        <f t="shared" si="0"/>
        <v>1250</v>
      </c>
      <c r="E5" s="3">
        <v>125</v>
      </c>
      <c r="F5" s="4">
        <f t="shared" si="1"/>
        <v>1250</v>
      </c>
      <c r="G5" s="3">
        <v>125</v>
      </c>
      <c r="H5" s="4">
        <f t="shared" si="2"/>
        <v>1250</v>
      </c>
      <c r="I5" s="3">
        <v>125</v>
      </c>
      <c r="J5" s="4">
        <f t="shared" si="3"/>
        <v>1250</v>
      </c>
      <c r="K5" s="3">
        <v>125</v>
      </c>
      <c r="L5" s="4">
        <f t="shared" si="4"/>
        <v>1250</v>
      </c>
      <c r="M5" s="3">
        <v>125</v>
      </c>
      <c r="N5" s="4">
        <f t="shared" si="5"/>
        <v>1250</v>
      </c>
      <c r="O5" s="3">
        <v>125</v>
      </c>
      <c r="P5" s="4">
        <f t="shared" si="6"/>
        <v>1250</v>
      </c>
    </row>
    <row r="6" spans="2:18">
      <c r="B6" s="16" t="s">
        <v>17</v>
      </c>
      <c r="C6" s="3">
        <v>120</v>
      </c>
      <c r="D6" s="4">
        <f t="shared" si="0"/>
        <v>1200</v>
      </c>
      <c r="E6" s="3">
        <v>120</v>
      </c>
      <c r="F6" s="4">
        <f t="shared" si="1"/>
        <v>1200</v>
      </c>
      <c r="G6" s="3">
        <v>120</v>
      </c>
      <c r="H6" s="4">
        <f t="shared" si="2"/>
        <v>1200</v>
      </c>
      <c r="I6" s="3">
        <v>120</v>
      </c>
      <c r="J6" s="4">
        <f t="shared" si="3"/>
        <v>1200</v>
      </c>
      <c r="K6" s="3">
        <v>120</v>
      </c>
      <c r="L6" s="4">
        <f t="shared" si="4"/>
        <v>1200</v>
      </c>
      <c r="M6" s="3">
        <v>120</v>
      </c>
      <c r="N6" s="4">
        <f t="shared" si="5"/>
        <v>1200</v>
      </c>
      <c r="O6" s="3">
        <v>120</v>
      </c>
      <c r="P6" s="4">
        <f t="shared" si="6"/>
        <v>1200</v>
      </c>
    </row>
    <row r="7" spans="2:18">
      <c r="B7" s="96" t="s">
        <v>51</v>
      </c>
      <c r="C7" s="3"/>
      <c r="D7" s="4">
        <f t="shared" si="0"/>
        <v>0</v>
      </c>
      <c r="E7" s="3">
        <v>0</v>
      </c>
      <c r="F7" s="4">
        <f t="shared" si="1"/>
        <v>0</v>
      </c>
      <c r="G7" s="3"/>
      <c r="H7" s="4">
        <f t="shared" si="2"/>
        <v>0</v>
      </c>
      <c r="I7" s="3"/>
      <c r="J7" s="4">
        <f t="shared" si="3"/>
        <v>0</v>
      </c>
      <c r="K7" s="3">
        <v>0</v>
      </c>
      <c r="L7" s="4">
        <f t="shared" si="4"/>
        <v>0</v>
      </c>
      <c r="M7" s="3">
        <v>125</v>
      </c>
      <c r="N7" s="4">
        <f t="shared" si="5"/>
        <v>1250</v>
      </c>
      <c r="O7" s="3">
        <v>0</v>
      </c>
      <c r="P7" s="4">
        <f t="shared" si="6"/>
        <v>0</v>
      </c>
    </row>
    <row r="8" spans="2:18">
      <c r="B8" s="15" t="s">
        <v>52</v>
      </c>
      <c r="C8" s="3"/>
      <c r="D8" s="4">
        <f t="shared" si="0"/>
        <v>0</v>
      </c>
      <c r="E8" s="3"/>
      <c r="F8" s="4">
        <f t="shared" si="1"/>
        <v>0</v>
      </c>
      <c r="G8" s="3"/>
      <c r="H8" s="4">
        <f t="shared" si="2"/>
        <v>0</v>
      </c>
      <c r="I8" s="3"/>
      <c r="J8" s="4">
        <f t="shared" si="3"/>
        <v>0</v>
      </c>
      <c r="K8" s="3"/>
      <c r="L8" s="4">
        <f t="shared" si="4"/>
        <v>0</v>
      </c>
      <c r="M8" s="3"/>
      <c r="N8" s="4">
        <f t="shared" si="5"/>
        <v>0</v>
      </c>
      <c r="O8" s="3"/>
      <c r="P8" s="4">
        <f t="shared" si="6"/>
        <v>0</v>
      </c>
    </row>
    <row r="9" spans="2:18">
      <c r="B9" s="15" t="s">
        <v>64</v>
      </c>
      <c r="C9" s="3">
        <v>0</v>
      </c>
      <c r="D9" s="4">
        <f t="shared" si="0"/>
        <v>0</v>
      </c>
      <c r="E9" s="3">
        <v>0</v>
      </c>
      <c r="F9" s="4">
        <f t="shared" si="0"/>
        <v>0</v>
      </c>
      <c r="G9" s="3">
        <v>0</v>
      </c>
      <c r="H9" s="4">
        <f t="shared" si="0"/>
        <v>0</v>
      </c>
      <c r="I9" s="3">
        <v>0</v>
      </c>
      <c r="J9" s="4">
        <f t="shared" si="0"/>
        <v>0</v>
      </c>
      <c r="K9" s="3">
        <v>0</v>
      </c>
      <c r="L9" s="4">
        <f t="shared" si="0"/>
        <v>0</v>
      </c>
      <c r="M9" s="3">
        <v>0</v>
      </c>
      <c r="N9" s="4">
        <f t="shared" si="0"/>
        <v>0</v>
      </c>
      <c r="O9" s="3">
        <v>0</v>
      </c>
      <c r="P9" s="4">
        <f t="shared" si="0"/>
        <v>0</v>
      </c>
    </row>
    <row r="10" spans="2:18" ht="16.2" thickBot="1">
      <c r="B10" s="70" t="s">
        <v>50</v>
      </c>
      <c r="C10" s="3">
        <v>0</v>
      </c>
      <c r="D10" s="4">
        <f>C10*积分规则1</f>
        <v>0</v>
      </c>
      <c r="E10" s="3">
        <v>0</v>
      </c>
      <c r="F10" s="4">
        <f>E10*积分规则1</f>
        <v>0</v>
      </c>
      <c r="G10" s="3">
        <v>0</v>
      </c>
      <c r="H10" s="4">
        <f>G10*积分规则1</f>
        <v>0</v>
      </c>
      <c r="I10" s="3">
        <v>0</v>
      </c>
      <c r="J10" s="4">
        <f>I10*积分规则1</f>
        <v>0</v>
      </c>
      <c r="K10" s="3">
        <v>0</v>
      </c>
      <c r="L10" s="4">
        <f>K10*积分规则1</f>
        <v>0</v>
      </c>
      <c r="M10" s="3">
        <v>0</v>
      </c>
      <c r="N10" s="4">
        <f>M10*积分规则1</f>
        <v>0</v>
      </c>
      <c r="O10" s="3">
        <v>0</v>
      </c>
      <c r="P10" s="4">
        <f>O10*积分规则1</f>
        <v>0</v>
      </c>
    </row>
    <row r="11" spans="2:18" ht="16.2" thickTop="1">
      <c r="B11" s="71" t="s">
        <v>53</v>
      </c>
      <c r="C11" s="3">
        <v>125</v>
      </c>
      <c r="D11" s="4">
        <f t="shared" si="0"/>
        <v>1250</v>
      </c>
      <c r="E11" s="3">
        <v>125</v>
      </c>
      <c r="F11" s="4">
        <f t="shared" si="1"/>
        <v>1250</v>
      </c>
      <c r="G11" s="3">
        <v>0</v>
      </c>
      <c r="H11" s="4">
        <f t="shared" si="2"/>
        <v>0</v>
      </c>
      <c r="I11" s="3"/>
      <c r="J11" s="4">
        <f t="shared" si="3"/>
        <v>0</v>
      </c>
      <c r="K11" s="3"/>
      <c r="L11" s="4">
        <f t="shared" si="4"/>
        <v>0</v>
      </c>
      <c r="M11" s="3">
        <v>0</v>
      </c>
      <c r="N11" s="4">
        <f t="shared" si="5"/>
        <v>0</v>
      </c>
      <c r="O11" s="3">
        <v>50</v>
      </c>
      <c r="P11" s="4">
        <f t="shared" si="6"/>
        <v>500</v>
      </c>
    </row>
    <row r="12" spans="2:18" ht="16.2" thickBot="1">
      <c r="B12" s="72" t="s">
        <v>54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>
        <v>0</v>
      </c>
      <c r="P12" s="4"/>
    </row>
    <row r="13" spans="2:18" ht="16.2" thickTop="1">
      <c r="B13" s="80" t="str">
        <f>"使用"&amp;抽奖道具</f>
        <v>使用制作券</v>
      </c>
      <c r="C13" s="3">
        <v>167</v>
      </c>
      <c r="D13" s="4">
        <f>C13*积分规则3</f>
        <v>50.100000000000009</v>
      </c>
      <c r="E13" s="3">
        <v>334</v>
      </c>
      <c r="F13" s="4">
        <f>E13*积分规则3</f>
        <v>100.20000000000002</v>
      </c>
      <c r="G13" s="3">
        <v>167</v>
      </c>
      <c r="H13" s="4">
        <f>G13*积分规则3</f>
        <v>50.100000000000009</v>
      </c>
      <c r="I13" s="3">
        <v>167</v>
      </c>
      <c r="J13" s="4">
        <f>I13*积分规则3</f>
        <v>50.100000000000009</v>
      </c>
      <c r="K13" s="3">
        <v>167</v>
      </c>
      <c r="L13" s="4">
        <f>K13*积分规则3</f>
        <v>50.100000000000009</v>
      </c>
      <c r="M13" s="3">
        <v>334</v>
      </c>
      <c r="N13" s="4">
        <f>M13*积分规则3</f>
        <v>100.20000000000002</v>
      </c>
      <c r="O13" s="3">
        <v>809</v>
      </c>
      <c r="P13" s="4">
        <f>O13*积分规则3</f>
        <v>242.70000000000005</v>
      </c>
    </row>
    <row r="14" spans="2:18" ht="16.2" thickBot="1">
      <c r="B14" s="73" t="str">
        <f>"剩余"&amp;抽奖道具</f>
        <v>剩余制作券</v>
      </c>
      <c r="C14" s="3">
        <f>C22-C13</f>
        <v>208</v>
      </c>
      <c r="D14" s="4"/>
      <c r="E14" s="3">
        <f>C14+SUM(E4:E12)-E13</f>
        <v>244</v>
      </c>
      <c r="F14" s="4"/>
      <c r="G14" s="3">
        <f>E14+SUM(G4:G12)-G13</f>
        <v>322</v>
      </c>
      <c r="H14" s="4"/>
      <c r="I14" s="3">
        <f>G14+SUM(I4:I12)-I13</f>
        <v>400</v>
      </c>
      <c r="J14" s="4"/>
      <c r="K14" s="3">
        <f>I14+SUM(K4:K12)-K13</f>
        <v>478</v>
      </c>
      <c r="L14" s="4"/>
      <c r="M14" s="3">
        <f>K14+SUM(M4:M12)-M13</f>
        <v>514</v>
      </c>
      <c r="N14" s="4"/>
      <c r="O14" s="3">
        <f>M14+SUM(O4:O12)-O13</f>
        <v>0</v>
      </c>
      <c r="P14" s="4"/>
    </row>
    <row r="15" spans="2:18" ht="16.2" thickTop="1">
      <c r="B15" s="74" t="s">
        <v>33</v>
      </c>
      <c r="C15" s="3">
        <v>0</v>
      </c>
      <c r="D15" s="4">
        <f>C15*随机箱积分</f>
        <v>0</v>
      </c>
      <c r="E15" s="3">
        <v>0</v>
      </c>
      <c r="F15" s="4">
        <f>E15*随机箱积分</f>
        <v>0</v>
      </c>
      <c r="G15" s="3">
        <v>0</v>
      </c>
      <c r="H15" s="4">
        <f>G15*随机箱积分</f>
        <v>0</v>
      </c>
      <c r="I15" s="3">
        <v>0</v>
      </c>
      <c r="J15" s="4">
        <f>I15*随机箱积分</f>
        <v>0</v>
      </c>
      <c r="K15" s="3">
        <v>0</v>
      </c>
      <c r="L15" s="4">
        <f>K15*随机箱积分</f>
        <v>0</v>
      </c>
      <c r="M15" s="3">
        <v>0</v>
      </c>
      <c r="N15" s="4">
        <f>M15*随机箱积分</f>
        <v>0</v>
      </c>
      <c r="O15" s="3">
        <v>110</v>
      </c>
      <c r="P15" s="79">
        <f>O15*随机箱积分</f>
        <v>1128.05</v>
      </c>
      <c r="R15" s="1" t="s">
        <v>147</v>
      </c>
    </row>
    <row r="16" spans="2:18" ht="16.2" thickBot="1">
      <c r="B16" s="73" t="s">
        <v>34</v>
      </c>
      <c r="C16" s="3">
        <f>C23-SUM(C15)</f>
        <v>14</v>
      </c>
      <c r="D16" s="4"/>
      <c r="E16" s="3">
        <f>E23-SUM(C15,E15)</f>
        <v>28</v>
      </c>
      <c r="F16" s="4"/>
      <c r="G16" s="3">
        <f>G23-SUM(C15,E15,G15)</f>
        <v>31</v>
      </c>
      <c r="H16" s="4"/>
      <c r="I16" s="3">
        <f>I23-SUM(C15,E15,G15,I15)</f>
        <v>34</v>
      </c>
      <c r="J16" s="4"/>
      <c r="K16" s="3">
        <f>K23-SUM(C15,E15,G15,I15,K15)</f>
        <v>37</v>
      </c>
      <c r="L16" s="4"/>
      <c r="M16" s="3">
        <f>M23-SUM(C15,E15,G15,I15,K15,M15)+M12</f>
        <v>51</v>
      </c>
      <c r="N16" s="4"/>
      <c r="O16" s="3">
        <f>O23-SUM(C15,E15,G15,I15,K15,M15,O15)+45</f>
        <v>0</v>
      </c>
      <c r="P16" s="4"/>
    </row>
    <row r="17" spans="2:16" ht="16.2" thickTop="1">
      <c r="B17" s="75" t="str">
        <f>"商店换"&amp;高级兑换道具</f>
        <v>商店换高级卷轴</v>
      </c>
      <c r="C17" s="3">
        <v>0</v>
      </c>
      <c r="D17" s="4">
        <f>C17*积分规则2</f>
        <v>0</v>
      </c>
      <c r="E17" s="3">
        <v>0</v>
      </c>
      <c r="F17" s="4">
        <f>E17*积分规则2</f>
        <v>0</v>
      </c>
      <c r="G17" s="3">
        <v>0</v>
      </c>
      <c r="H17" s="4">
        <f>G17*积分规则2</f>
        <v>0</v>
      </c>
      <c r="I17" s="3">
        <v>0</v>
      </c>
      <c r="J17" s="4">
        <f>I17*积分规则2</f>
        <v>0</v>
      </c>
      <c r="K17" s="3">
        <v>0</v>
      </c>
      <c r="L17" s="4">
        <f>K17*积分规则2</f>
        <v>0</v>
      </c>
      <c r="M17" s="3">
        <v>0</v>
      </c>
      <c r="N17" s="4">
        <f>M17*积分规则2</f>
        <v>0</v>
      </c>
      <c r="O17" s="3">
        <v>100</v>
      </c>
      <c r="P17" s="4">
        <f>O17*积分规则2</f>
        <v>100</v>
      </c>
    </row>
    <row r="18" spans="2:16">
      <c r="B18" s="15" t="s">
        <v>56</v>
      </c>
      <c r="C18" s="3"/>
      <c r="D18" s="4"/>
      <c r="E18" s="3"/>
      <c r="F18" s="4"/>
      <c r="G18" s="3"/>
      <c r="H18" s="4"/>
      <c r="I18" s="3"/>
      <c r="J18" s="4"/>
      <c r="K18" s="3"/>
      <c r="L18" s="4"/>
      <c r="M18" s="3"/>
      <c r="N18" s="4"/>
      <c r="O18" s="3"/>
      <c r="P18" s="4"/>
    </row>
    <row r="19" spans="2:16" ht="16.2" thickBot="1">
      <c r="B19" s="15" t="s">
        <v>56</v>
      </c>
      <c r="C19" s="3"/>
      <c r="D19" s="4"/>
      <c r="E19" s="3"/>
      <c r="F19" s="4"/>
      <c r="G19" s="3"/>
      <c r="H19" s="4"/>
      <c r="I19" s="3"/>
      <c r="J19" s="4"/>
      <c r="K19" s="3"/>
      <c r="L19" s="4"/>
      <c r="M19" s="3"/>
      <c r="N19" s="4"/>
      <c r="O19" s="3"/>
      <c r="P19" s="4"/>
    </row>
    <row r="20" spans="2:16" ht="16.8" thickTop="1" thickBot="1">
      <c r="B20" s="82" t="s">
        <v>58</v>
      </c>
      <c r="C20" s="83" t="str">
        <f>IFERROR(LOOKUP(D20,档位积分1:档位积分5,第1档:第5档),"无奖励")</f>
        <v>第3档</v>
      </c>
      <c r="D20" s="84">
        <f>SUM(D4:D13)+D15+SUM(D17:D19)</f>
        <v>3800.1</v>
      </c>
      <c r="E20" s="85" t="str">
        <f>IFERROR(LOOKUP(F20,档位积分1:档位积分5,第1档:第5档),"无奖励")</f>
        <v>第3档</v>
      </c>
      <c r="F20" s="84">
        <f>SUM(F4:F13)+F15+SUM(F17:F19)</f>
        <v>3800.2</v>
      </c>
      <c r="G20" s="85" t="str">
        <f>IFERROR(LOOKUP(H20,档位积分1:档位积分5,第1档:第5档),"无奖励")</f>
        <v>第2档</v>
      </c>
      <c r="H20" s="84">
        <f>SUM(H4:H13)+H15+SUM(H17:H19)</f>
        <v>2500.1</v>
      </c>
      <c r="I20" s="85" t="str">
        <f>IFERROR(LOOKUP(J20,档位积分1:档位积分5,第1档:第5档),"无奖励")</f>
        <v>第2档</v>
      </c>
      <c r="J20" s="84">
        <f>SUM(J4:J13)+J15+SUM(J17:J19)</f>
        <v>2500.1</v>
      </c>
      <c r="K20" s="85" t="str">
        <f>IFERROR(LOOKUP(L20,档位积分1:档位积分5,第1档:第5档),"无奖励")</f>
        <v>第2档</v>
      </c>
      <c r="L20" s="84">
        <f>SUM(L4:L13)+L15+SUM(L17:L19)</f>
        <v>2500.1</v>
      </c>
      <c r="M20" s="85" t="str">
        <f>IFERROR(LOOKUP(N20,档位积分1:档位积分5,第1档:第5档),"无奖励")</f>
        <v>第3档</v>
      </c>
      <c r="N20" s="84">
        <f>SUM(N4:N13)+N15+SUM(N17:N19)</f>
        <v>3800.2</v>
      </c>
      <c r="O20" s="85" t="str">
        <f>IFERROR(LOOKUP(P20,档位积分1:档位积分5,第1档:第5档),"无奖励")</f>
        <v>第3档</v>
      </c>
      <c r="P20" s="84">
        <f>SUM(P4:P13)+P15+SUM(P17:P19)</f>
        <v>4420.75</v>
      </c>
    </row>
    <row r="21" spans="2:16" ht="16.8" thickTop="1" thickBot="1">
      <c r="B21" s="69" t="s">
        <v>63</v>
      </c>
      <c r="C21" s="67" t="str">
        <f>IF(D20&gt;=MAX(档位积分1:档位积分5), "已是最高档",
   IF(D20&lt;MIN(档位积分1:档位积分5), INDEX(第1档:第5档, 1),
      INDEX(第1档:第5档, MATCH(D20, 档位积分1:档位积分5, 1)+1)))</f>
        <v>第4档</v>
      </c>
      <c r="D21" s="95">
        <f>IF(D20&gt;=MAX(档位积分1:档位积分5), "",
   IF(D20&lt;MIN(档位积分1:档位积分5), MIN(档位积分1:档位积分5),
      INDEX(档位积分1:档位积分5, MATCH(D20, 档位积分1:档位积分5, 1)+1)))</f>
        <v>9100</v>
      </c>
      <c r="E21" s="67" t="str">
        <f>IF(F20&gt;=MAX(档位积分1:档位积分5), "已是最高档",
   IF(F20&lt;MIN(档位积分1:档位积分5), INDEX(第1档:第5档, 1),
      INDEX(第1档:第5档, MATCH(F20, 档位积分1:档位积分5, 1)+1)))</f>
        <v>第4档</v>
      </c>
      <c r="F21" s="95">
        <f>IF(F20&gt;=MAX(档位积分1:档位积分5), "",
   IF(F20&lt;MIN(档位积分1:档位积分5), MIN(档位积分1:档位积分5),
      INDEX(档位积分1:档位积分5, MATCH(F20, 档位积分1:档位积分5, 1)+1)))</f>
        <v>9100</v>
      </c>
      <c r="G21" s="67" t="str">
        <f>IF(H20&gt;=MAX(档位积分1:档位积分5), "已是最高档",
   IF(H20&lt;MIN(档位积分1:档位积分5), INDEX(第1档:第5档, 1),
      INDEX(第1档:第5档, MATCH(H20, 档位积分1:档位积分5, 1)+1)))</f>
        <v>第3档</v>
      </c>
      <c r="H21" s="95">
        <f>IF(H20&gt;=MAX(档位积分1:档位积分5), "",
   IF(H20&lt;MIN(档位积分1:档位积分5), MIN(档位积分1:档位积分5),
      INDEX(档位积分1:档位积分5, MATCH(H20, 档位积分1:档位积分5, 1)+1)))</f>
        <v>3800</v>
      </c>
      <c r="I21" s="67" t="str">
        <f>IF(J20&gt;=MAX(档位积分1:档位积分5), "已是最高档",
   IF(J20&lt;MIN(档位积分1:档位积分5), INDEX(第1档:第5档, 1),
      INDEX(第1档:第5档, MATCH(J20, 档位积分1:档位积分5, 1)+1)))</f>
        <v>第3档</v>
      </c>
      <c r="J21" s="95">
        <f>IF(J20&gt;=MAX(档位积分1:档位积分5), "",
   IF(J20&lt;MIN(档位积分1:档位积分5), MIN(档位积分1:档位积分5),
      INDEX(档位积分1:档位积分5, MATCH(J20, 档位积分1:档位积分5, 1)+1)))</f>
        <v>3800</v>
      </c>
      <c r="K21" s="67" t="str">
        <f>IF(L20&gt;=MAX(档位积分1:档位积分5), "已是最高档",
   IF(L20&lt;MIN(档位积分1:档位积分5), INDEX(第1档:第5档, 1),
      INDEX(第1档:第5档, MATCH(L20, 档位积分1:档位积分5, 1)+1)))</f>
        <v>第3档</v>
      </c>
      <c r="L21" s="95">
        <f>IF(L20&gt;=MAX(档位积分1:档位积分5), "",
   IF(L20&lt;MIN(档位积分1:档位积分5), MIN(档位积分1:档位积分5),
      INDEX(档位积分1:档位积分5, MATCH(L20, 档位积分1:档位积分5, 1)+1)))</f>
        <v>3800</v>
      </c>
      <c r="M21" s="67" t="str">
        <f>IF(N20&gt;=MAX(档位积分1:档位积分5), "已是最高档",
   IF(N20&lt;MIN(档位积分1:档位积分5), INDEX(第1档:第5档, 1),
      INDEX(第1档:第5档, MATCH(N20, 档位积分1:档位积分5, 1)+1)))</f>
        <v>第4档</v>
      </c>
      <c r="N21" s="95">
        <f>IF(N20&gt;=MAX(档位积分1:档位积分5), "",
   IF(N20&lt;MIN(档位积分1:档位积分5), MIN(档位积分1:档位积分5),
      INDEX(档位积分1:档位积分5, MATCH(N20, 档位积分1:档位积分5, 1)+1)))</f>
        <v>9100</v>
      </c>
      <c r="O21" s="67" t="str">
        <f>IF(P20&gt;=MAX(档位积分1:档位积分5), "已是最高档",
   IF(P20&lt;MIN(档位积分1:档位积分5), INDEX(第1档:第5档, 1),
      INDEX(第1档:第5档, MATCH(P20, 档位积分1:档位积分5, 1)+1)))</f>
        <v>第4档</v>
      </c>
      <c r="P21" s="95">
        <f>IF(P20&gt;=MAX(档位积分1:档位积分5), "",
   IF(P20&lt;MIN(档位积分1:档位积分5), MIN(档位积分1:档位积分5),
      INDEX(档位积分1:档位积分5, MATCH(P20, 档位积分1:档位积分5, 1)+1)))</f>
        <v>9100</v>
      </c>
    </row>
    <row r="22" spans="2:16" ht="16.2" thickTop="1">
      <c r="B22" s="81" t="str">
        <f>"总"&amp;抽奖道具</f>
        <v>总制作券</v>
      </c>
      <c r="C22" s="67">
        <f>SUM(C4:C12)</f>
        <v>375</v>
      </c>
      <c r="D22" s="68">
        <f>C13*实测高级兑换道具数量*积分规则2</f>
        <v>0</v>
      </c>
      <c r="E22" s="67">
        <f>C22+SUM(E4:E12)</f>
        <v>745</v>
      </c>
      <c r="F22" s="68">
        <v>0</v>
      </c>
      <c r="G22" s="67">
        <f>E22+SUM(G4:G12)</f>
        <v>990</v>
      </c>
      <c r="H22" s="68">
        <v>0</v>
      </c>
      <c r="I22" s="67">
        <f>G22+SUM(I4:I12)</f>
        <v>1235</v>
      </c>
      <c r="J22" s="68">
        <v>0</v>
      </c>
      <c r="K22" s="67">
        <f>I22+SUM(K4:K12)</f>
        <v>1480</v>
      </c>
      <c r="L22" s="68">
        <v>0</v>
      </c>
      <c r="M22" s="67">
        <f>K22+SUM(M4:M12)</f>
        <v>1850</v>
      </c>
      <c r="N22" s="68">
        <v>0</v>
      </c>
      <c r="O22" s="67">
        <f>M22+SUM(O4:O12)</f>
        <v>2145</v>
      </c>
      <c r="P22" s="68">
        <v>0</v>
      </c>
    </row>
    <row r="23" spans="2:16" ht="16.2" thickBot="1">
      <c r="B23" s="66" t="s">
        <v>57</v>
      </c>
      <c r="C23" s="5">
        <f>IFERROR(LOOKUP(D20,档位积分1:档位积分5,档位奖励1:档位奖励5),0)</f>
        <v>14</v>
      </c>
      <c r="D23" s="13">
        <f>C23*随机箱积分</f>
        <v>143.57</v>
      </c>
      <c r="E23" s="5">
        <f>IFERROR(LOOKUP(F20,档位积分1:档位积分5,档位奖励1:档位奖励5),0)+C23</f>
        <v>28</v>
      </c>
      <c r="F23" s="13">
        <f>E23*随机箱积分</f>
        <v>287.14</v>
      </c>
      <c r="G23" s="5">
        <f>IFERROR(LOOKUP(H20,档位积分1:档位积分5,档位奖励1:档位奖励5),0)+E23</f>
        <v>31</v>
      </c>
      <c r="H23" s="13">
        <f>G23*随机箱积分</f>
        <v>317.90499999999997</v>
      </c>
      <c r="I23" s="5">
        <f>IFERROR(LOOKUP(J20,档位积分1:档位积分5,档位奖励1:档位奖励5),0)+G23</f>
        <v>34</v>
      </c>
      <c r="J23" s="13">
        <f>I23*随机箱积分</f>
        <v>348.66999999999996</v>
      </c>
      <c r="K23" s="5">
        <f>IFERROR(LOOKUP(L20,档位积分1:档位积分5,档位奖励1:档位奖励5),0)+I23</f>
        <v>37</v>
      </c>
      <c r="L23" s="13">
        <f>K23*随机箱积分</f>
        <v>379.43499999999995</v>
      </c>
      <c r="M23" s="5">
        <f>IFERROR(LOOKUP(N20,档位积分1:档位积分5,档位奖励1:档位奖励5),0)+K23</f>
        <v>51</v>
      </c>
      <c r="N23" s="13">
        <f>M23*随机箱积分</f>
        <v>523.005</v>
      </c>
      <c r="O23" s="5">
        <f>IFERROR(LOOKUP(P20,档位积分1:档位积分5,档位奖励1:档位奖励5),0)+M23</f>
        <v>65</v>
      </c>
      <c r="P23" s="13">
        <f>O23*随机箱积分</f>
        <v>666.57499999999993</v>
      </c>
    </row>
    <row r="24" spans="2:16" ht="16.2" thickTop="1">
      <c r="B24" s="69" t="str">
        <f>普通兑换道具</f>
        <v>普通卷轴</v>
      </c>
      <c r="C24" s="86">
        <f>C13*普通兑换道具数量</f>
        <v>1962.25</v>
      </c>
      <c r="D24" s="68"/>
      <c r="E24" s="86">
        <f>E13*普通兑换道具数量+C24</f>
        <v>5886.75</v>
      </c>
      <c r="F24" s="87"/>
      <c r="G24" s="86">
        <f>G13*普通兑换道具数量+E24</f>
        <v>7849</v>
      </c>
      <c r="H24" s="87"/>
      <c r="I24" s="86">
        <f>I13*普通兑换道具数量+G24</f>
        <v>9811.25</v>
      </c>
      <c r="J24" s="87"/>
      <c r="K24" s="86">
        <f>K13*普通兑换道具数量+I24</f>
        <v>11773.5</v>
      </c>
      <c r="L24" s="87"/>
      <c r="M24" s="86">
        <f>M13*普通兑换道具数量+K24</f>
        <v>15698</v>
      </c>
      <c r="N24" s="87"/>
      <c r="O24" s="86">
        <f>O13*普通兑换道具数量+M24-O17*24</f>
        <v>22803.75</v>
      </c>
      <c r="P24" s="68"/>
    </row>
    <row r="25" spans="2:16" ht="16.2" thickBot="1">
      <c r="B25" s="70" t="str">
        <f>高级兑换道具</f>
        <v>高级卷轴</v>
      </c>
      <c r="C25" s="88">
        <f>C13*高级兑换道具数量+C15*随机箱高级道具</f>
        <v>50.100000000000009</v>
      </c>
      <c r="D25" s="13"/>
      <c r="E25" s="88">
        <f>E13*高级兑换道具数量+E15*随机箱高级道具+C25</f>
        <v>150.30000000000001</v>
      </c>
      <c r="F25" s="89"/>
      <c r="G25" s="88">
        <f>G13*高级兑换道具数量+G15*随机箱高级道具+E25</f>
        <v>200.40000000000003</v>
      </c>
      <c r="H25" s="89"/>
      <c r="I25" s="88">
        <f>I13*高级兑换道具数量+I15*随机箱高级道具+G25</f>
        <v>250.50000000000006</v>
      </c>
      <c r="J25" s="89"/>
      <c r="K25" s="88">
        <f>K13*高级兑换道具数量+K15*随机箱高级道具+I25</f>
        <v>300.60000000000008</v>
      </c>
      <c r="L25" s="89"/>
      <c r="M25" s="88">
        <f>M13*高级兑换道具数量+M15*随机箱高级道具+K25</f>
        <v>400.80000000000007</v>
      </c>
      <c r="N25" s="89"/>
      <c r="O25" s="88">
        <f>O13*高级兑换道具数量+O15*随机箱高级道具+M25+O17</f>
        <v>1871.5500000000002</v>
      </c>
      <c r="P25" s="13"/>
    </row>
    <row r="26" spans="2:16" ht="16.2" thickTop="1">
      <c r="B26" s="172" t="s">
        <v>48</v>
      </c>
      <c r="C26" s="20">
        <v>30</v>
      </c>
      <c r="D26" s="21">
        <v>68</v>
      </c>
      <c r="E26" s="20">
        <v>30</v>
      </c>
      <c r="F26" s="21">
        <v>68</v>
      </c>
      <c r="G26" s="20">
        <v>0</v>
      </c>
      <c r="H26" s="21">
        <v>0</v>
      </c>
      <c r="I26" s="20">
        <v>0</v>
      </c>
      <c r="J26" s="21">
        <v>0</v>
      </c>
      <c r="K26" s="20">
        <v>0</v>
      </c>
      <c r="L26" s="21">
        <v>0</v>
      </c>
      <c r="M26" s="20">
        <v>0</v>
      </c>
      <c r="N26" s="21">
        <v>0</v>
      </c>
      <c r="O26" s="20">
        <v>30</v>
      </c>
      <c r="P26" s="21">
        <v>68</v>
      </c>
    </row>
    <row r="27" spans="2:16">
      <c r="B27" s="173"/>
      <c r="C27" s="76">
        <v>0</v>
      </c>
      <c r="D27" s="26">
        <v>0</v>
      </c>
      <c r="E27" s="76">
        <v>0</v>
      </c>
      <c r="F27" s="26">
        <v>0</v>
      </c>
      <c r="G27" s="76">
        <v>0</v>
      </c>
      <c r="H27" s="26">
        <v>0</v>
      </c>
      <c r="I27" s="76">
        <v>0</v>
      </c>
      <c r="J27" s="26">
        <v>0</v>
      </c>
      <c r="K27" s="76">
        <v>0</v>
      </c>
      <c r="L27" s="26">
        <v>0</v>
      </c>
      <c r="M27" s="76">
        <v>0</v>
      </c>
      <c r="N27" s="26">
        <v>0</v>
      </c>
      <c r="O27" s="76">
        <v>0</v>
      </c>
      <c r="P27" s="26">
        <v>0</v>
      </c>
    </row>
    <row r="28" spans="2:16" ht="16.2" thickBot="1">
      <c r="B28" s="174"/>
      <c r="C28" s="77"/>
      <c r="D28" s="78"/>
      <c r="E28" s="77"/>
      <c r="F28" s="78"/>
      <c r="G28" s="77"/>
      <c r="H28" s="78"/>
      <c r="I28" s="77"/>
      <c r="J28" s="78"/>
      <c r="K28" s="77"/>
      <c r="L28" s="78"/>
      <c r="M28" s="77"/>
      <c r="N28" s="78"/>
      <c r="O28" s="77"/>
      <c r="P28" s="78"/>
    </row>
    <row r="29" spans="2:16" ht="16.2" thickTop="1">
      <c r="B29" s="173" t="s">
        <v>49</v>
      </c>
      <c r="C29" s="20">
        <f>IFERROR(LOOKUP(C26,价格6:价格648,翡翠100:翡翠10000),0)</f>
        <v>500</v>
      </c>
      <c r="D29" s="21">
        <f>IFERROR(LOOKUP(D26,价格6:价格648,翡翠100:翡翠10000),0)</f>
        <v>1000</v>
      </c>
      <c r="E29" s="20">
        <f>IFERROR(LOOKUP(E26,价格6:价格648,翡翠100:翡翠10000),0)</f>
        <v>500</v>
      </c>
      <c r="F29" s="21">
        <f>IFERROR(LOOKUP(F26,价格6:价格648,翡翠100:翡翠10000),0)</f>
        <v>1000</v>
      </c>
      <c r="G29" s="20">
        <f>IFERROR(LOOKUP(G26,价格6:价格648,翡翠100:翡翠10000),0)</f>
        <v>0</v>
      </c>
      <c r="H29" s="21">
        <f>IFERROR(LOOKUP(H26,价格6:价格648,翡翠100:翡翠10000),0)</f>
        <v>0</v>
      </c>
      <c r="I29" s="20">
        <f>IFERROR(LOOKUP(I26,价格6:价格648,翡翠100:翡翠10000),0)</f>
        <v>0</v>
      </c>
      <c r="J29" s="21">
        <f>IFERROR(LOOKUP(J26,价格6:价格648,翡翠100:翡翠10000),0)</f>
        <v>0</v>
      </c>
      <c r="K29" s="20">
        <f>IFERROR(LOOKUP(K26,价格6:价格648,翡翠100:翡翠10000),0)</f>
        <v>0</v>
      </c>
      <c r="L29" s="21">
        <f>IFERROR(LOOKUP(L26,价格6:价格648,翡翠100:翡翠10000),0)</f>
        <v>0</v>
      </c>
      <c r="M29" s="20">
        <f>IFERROR(LOOKUP(M26,价格6:价格648,翡翠100:翡翠10000),0)</f>
        <v>0</v>
      </c>
      <c r="N29" s="21">
        <f>IFERROR(LOOKUP(N26,价格6:价格648,翡翠100:翡翠10000),0)</f>
        <v>0</v>
      </c>
      <c r="O29" s="20">
        <f>IFERROR(LOOKUP(O26,价格6:价格648,翡翠100:翡翠10000),0)</f>
        <v>500</v>
      </c>
      <c r="P29" s="21">
        <f>IFERROR(LOOKUP(P26,价格6:价格648,翡翠100:翡翠10000),0)</f>
        <v>1000</v>
      </c>
    </row>
    <row r="30" spans="2:16">
      <c r="B30" s="173"/>
      <c r="C30" s="76">
        <f>IFERROR(LOOKUP(C27,价格6:价格648,翡翠100:翡翠10000),0)</f>
        <v>0</v>
      </c>
      <c r="D30" s="26">
        <f>IFERROR(LOOKUP(D27,价格6:价格648,翡翠100:翡翠10000),0)</f>
        <v>0</v>
      </c>
      <c r="E30" s="76">
        <f>IFERROR(LOOKUP(E27,价格6:价格648,翡翠100:翡翠10000),0)</f>
        <v>0</v>
      </c>
      <c r="F30" s="26">
        <f>IFERROR(LOOKUP(F27,价格6:价格648,翡翠100:翡翠10000),0)</f>
        <v>0</v>
      </c>
      <c r="G30" s="76">
        <f>IFERROR(LOOKUP(G27,价格6:价格648,翡翠100:翡翠10000),0)</f>
        <v>0</v>
      </c>
      <c r="H30" s="26">
        <f>IFERROR(LOOKUP(H27,价格6:价格648,翡翠100:翡翠10000),0)</f>
        <v>0</v>
      </c>
      <c r="I30" s="76">
        <f>IFERROR(LOOKUP(I27,价格6:价格648,翡翠100:翡翠10000),0)</f>
        <v>0</v>
      </c>
      <c r="J30" s="26">
        <f>IFERROR(LOOKUP(J27,价格6:价格648,翡翠100:翡翠10000),0)</f>
        <v>0</v>
      </c>
      <c r="K30" s="76">
        <f>IFERROR(LOOKUP(K27,价格6:价格648,翡翠100:翡翠10000),0)</f>
        <v>0</v>
      </c>
      <c r="L30" s="26">
        <f>IFERROR(LOOKUP(L27,价格6:价格648,翡翠100:翡翠10000),0)</f>
        <v>0</v>
      </c>
      <c r="M30" s="76">
        <f>IFERROR(LOOKUP(M27,价格6:价格648,翡翠100:翡翠10000),0)</f>
        <v>0</v>
      </c>
      <c r="N30" s="26">
        <f>IFERROR(LOOKUP(N27,价格6:价格648,翡翠100:翡翠10000),0)</f>
        <v>0</v>
      </c>
      <c r="O30" s="76">
        <f>IFERROR(LOOKUP(O27,价格6:价格648,翡翠100:翡翠10000),0)</f>
        <v>0</v>
      </c>
      <c r="P30" s="26">
        <v>0</v>
      </c>
    </row>
    <row r="31" spans="2:16" ht="16.2" thickBot="1">
      <c r="B31" s="174"/>
      <c r="C31" s="77"/>
      <c r="D31" s="78"/>
      <c r="E31" s="77"/>
      <c r="F31" s="78"/>
      <c r="G31" s="77"/>
      <c r="H31" s="78"/>
      <c r="I31" s="77"/>
      <c r="J31" s="78"/>
      <c r="K31" s="77"/>
      <c r="L31" s="78"/>
      <c r="M31" s="77"/>
      <c r="N31" s="78"/>
      <c r="O31" s="77"/>
      <c r="P31" s="78"/>
    </row>
    <row r="32" spans="2:16" ht="24.6" customHeight="1" thickTop="1">
      <c r="B32" s="173" t="s">
        <v>46</v>
      </c>
      <c r="C32" s="175" t="str">
        <f>SUM(C6,E6,G6,I6,K6,M6,O6)*钻石购买 &amp;"钻石"</f>
        <v>50400钻石</v>
      </c>
      <c r="D32" s="176"/>
      <c r="E32" s="176"/>
      <c r="F32" s="176"/>
      <c r="G32" s="176"/>
      <c r="H32" s="176"/>
      <c r="I32" s="181" t="str">
        <f>SUM(C26:P28) &amp;"元"</f>
        <v>294元</v>
      </c>
      <c r="J32" s="181"/>
      <c r="K32" s="181"/>
      <c r="L32" s="181"/>
      <c r="M32" s="166" t="str">
        <f>SUM(C29:P31) &amp; "翡翠"</f>
        <v>4500翡翠</v>
      </c>
      <c r="N32" s="166"/>
      <c r="O32" s="166"/>
      <c r="P32" s="167"/>
    </row>
    <row r="33" spans="2:19" ht="22.8" thickBot="1">
      <c r="B33" s="174"/>
      <c r="C33" s="178" t="str">
        <f>"最终收益："&amp;ROUNDDOWN(O25,0)&amp;B25&amp;"+"&amp;ROUNDDOWN(O24,0)&amp;B24</f>
        <v>最终收益：1871高级卷轴+22803普通卷轴</v>
      </c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80"/>
    </row>
    <row r="34" spans="2:19" ht="16.2" thickTop="1"/>
    <row r="38" spans="2:19" ht="38.4" customHeight="1"/>
    <row r="39" spans="2:19" ht="17.7" customHeight="1">
      <c r="B39" s="27"/>
      <c r="C39" s="27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2:19" ht="17.7" customHeight="1">
      <c r="B40" s="27"/>
      <c r="C40" s="6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2:19" ht="17.7" customHeight="1">
      <c r="B41" s="27"/>
      <c r="C41" s="59"/>
      <c r="D41" s="60"/>
      <c r="E41" s="60"/>
      <c r="F41" s="60"/>
      <c r="G41" s="60"/>
      <c r="H41" s="60"/>
      <c r="I41" s="60"/>
      <c r="J41" s="60"/>
      <c r="K41" s="10"/>
      <c r="L41" s="10"/>
      <c r="M41" s="10"/>
      <c r="N41" s="10"/>
      <c r="O41" s="10"/>
      <c r="P41" s="10"/>
    </row>
    <row r="42" spans="2:19" ht="17.7" customHeight="1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2:19">
      <c r="F43" s="177"/>
      <c r="G43" s="177"/>
      <c r="H43" s="177"/>
      <c r="I43" s="177"/>
      <c r="K43" s="170"/>
      <c r="L43" s="170"/>
      <c r="M43" s="170"/>
      <c r="N43" s="170"/>
      <c r="P43" s="170"/>
      <c r="Q43" s="170"/>
      <c r="R43" s="170"/>
      <c r="S43" s="170"/>
    </row>
    <row r="44" spans="2:19">
      <c r="K44" s="6"/>
      <c r="L44" s="6"/>
      <c r="M44" s="6"/>
      <c r="N44" s="6"/>
      <c r="P44" s="6"/>
      <c r="R44" s="6"/>
      <c r="S44" s="6"/>
    </row>
    <row r="45" spans="2:19">
      <c r="K45" s="6"/>
      <c r="L45" s="6"/>
      <c r="M45" s="6"/>
      <c r="N45" s="6"/>
      <c r="P45" s="6"/>
      <c r="R45" s="6"/>
      <c r="S45" s="6"/>
    </row>
    <row r="46" spans="2:19">
      <c r="K46" s="6"/>
      <c r="L46" s="6"/>
      <c r="M46" s="6"/>
      <c r="N46" s="6"/>
      <c r="P46" s="6"/>
      <c r="R46" s="6"/>
      <c r="S46" s="6"/>
    </row>
    <row r="47" spans="2:19">
      <c r="K47" s="6"/>
      <c r="L47" s="6"/>
      <c r="M47" s="6"/>
      <c r="N47" s="6"/>
      <c r="P47" s="25"/>
      <c r="R47" s="25"/>
      <c r="S47" s="6"/>
    </row>
    <row r="48" spans="2:19">
      <c r="G48" s="28"/>
      <c r="H48" s="28"/>
      <c r="I48" s="28"/>
      <c r="K48" s="6"/>
      <c r="M48" s="6"/>
      <c r="N48" s="6"/>
      <c r="O48" s="6"/>
      <c r="P48" s="6"/>
    </row>
    <row r="49" spans="2:16">
      <c r="F49" s="6"/>
      <c r="G49" s="6"/>
      <c r="H49" s="6"/>
      <c r="K49" s="6"/>
      <c r="M49" s="6"/>
      <c r="N49" s="6"/>
      <c r="O49" s="6"/>
      <c r="P49" s="6"/>
    </row>
    <row r="50" spans="2:16">
      <c r="B50" s="171"/>
      <c r="C50" s="171"/>
      <c r="D50" s="171"/>
      <c r="K50" s="170"/>
      <c r="L50" s="170"/>
      <c r="M50" s="170"/>
      <c r="N50" s="170"/>
    </row>
    <row r="51" spans="2:16">
      <c r="K51" s="6"/>
      <c r="M51" s="6"/>
      <c r="N51" s="6"/>
      <c r="P51" s="25"/>
    </row>
    <row r="52" spans="2:16">
      <c r="K52" s="6"/>
      <c r="M52" s="6"/>
      <c r="N52" s="6"/>
      <c r="P52" s="25"/>
    </row>
    <row r="53" spans="2:16">
      <c r="K53" s="6"/>
      <c r="M53" s="6"/>
      <c r="N53" s="6"/>
      <c r="P53" s="25"/>
    </row>
    <row r="54" spans="2:16">
      <c r="B54" s="171"/>
      <c r="C54" s="171"/>
      <c r="D54" s="171"/>
      <c r="K54" s="6"/>
      <c r="M54" s="6"/>
      <c r="N54" s="6"/>
      <c r="P54" s="25"/>
    </row>
    <row r="55" spans="2:16">
      <c r="K55" s="6"/>
      <c r="M55" s="6"/>
      <c r="N55" s="6"/>
      <c r="P55" s="25"/>
    </row>
    <row r="56" spans="2:16">
      <c r="K56" s="6"/>
      <c r="M56" s="6"/>
      <c r="N56" s="6"/>
      <c r="P56" s="25"/>
    </row>
    <row r="57" spans="2:16">
      <c r="K57" s="6"/>
      <c r="M57" s="6"/>
      <c r="N57" s="6"/>
      <c r="P57" s="25"/>
    </row>
    <row r="58" spans="2:16">
      <c r="K58" s="6"/>
      <c r="M58" s="6"/>
      <c r="N58" s="6"/>
      <c r="P58" s="25"/>
    </row>
    <row r="59" spans="2:16">
      <c r="P59" s="25"/>
    </row>
    <row r="60" spans="2:16">
      <c r="P60" s="25"/>
    </row>
    <row r="61" spans="2:16">
      <c r="P61" s="25"/>
    </row>
    <row r="62" spans="2:16">
      <c r="P62" s="25"/>
    </row>
    <row r="63" spans="2:16">
      <c r="P63" s="25"/>
    </row>
    <row r="64" spans="2:16">
      <c r="P64" s="25"/>
    </row>
    <row r="65" spans="16:16">
      <c r="P65" s="25"/>
    </row>
    <row r="66" spans="16:16">
      <c r="P66" s="25"/>
    </row>
    <row r="67" spans="16:16">
      <c r="P67" s="25"/>
    </row>
    <row r="68" spans="16:16">
      <c r="P68" s="25"/>
    </row>
    <row r="69" spans="16:16">
      <c r="P69" s="25"/>
    </row>
    <row r="70" spans="16:16">
      <c r="P70" s="25"/>
    </row>
    <row r="71" spans="16:16">
      <c r="P71" s="25"/>
    </row>
    <row r="72" spans="16:16">
      <c r="P72" s="25"/>
    </row>
    <row r="73" spans="16:16">
      <c r="P73" s="25"/>
    </row>
    <row r="74" spans="16:16">
      <c r="P74" s="25"/>
    </row>
  </sheetData>
  <mergeCells count="20">
    <mergeCell ref="O2:P2"/>
    <mergeCell ref="B26:B28"/>
    <mergeCell ref="B29:B31"/>
    <mergeCell ref="B32:B33"/>
    <mergeCell ref="C32:H32"/>
    <mergeCell ref="I32:L32"/>
    <mergeCell ref="M32:P32"/>
    <mergeCell ref="C33:P33"/>
    <mergeCell ref="C2:D2"/>
    <mergeCell ref="E2:F2"/>
    <mergeCell ref="G2:H2"/>
    <mergeCell ref="I2:J2"/>
    <mergeCell ref="K2:L2"/>
    <mergeCell ref="M2:N2"/>
    <mergeCell ref="K43:N43"/>
    <mergeCell ref="P43:S43"/>
    <mergeCell ref="B50:D50"/>
    <mergeCell ref="K50:N50"/>
    <mergeCell ref="B54:D54"/>
    <mergeCell ref="F43:I43"/>
  </mergeCells>
  <phoneticPr fontId="24" type="noConversion"/>
  <conditionalFormatting sqref="B6:P6">
    <cfRule type="cellIs" dxfId="6" priority="4" operator="greaterThan">
      <formula>0</formula>
    </cfRule>
  </conditionalFormatting>
  <conditionalFormatting sqref="B10:P10">
    <cfRule type="cellIs" dxfId="5" priority="1" operator="greaterThan">
      <formula>0</formula>
    </cfRule>
  </conditionalFormatting>
  <conditionalFormatting sqref="B11:P12">
    <cfRule type="cellIs" dxfId="4" priority="3" operator="greaterThan">
      <formula>0</formula>
    </cfRule>
  </conditionalFormatting>
  <conditionalFormatting sqref="C7:P7">
    <cfRule type="cellIs" dxfId="3" priority="2" operator="greaterThan">
      <formula>0</formula>
    </cfRule>
  </conditionalFormatting>
  <conditionalFormatting sqref="C13:P13">
    <cfRule type="cellIs" dxfId="2" priority="7" operator="greaterThan">
      <formula>0</formula>
    </cfRule>
  </conditionalFormatting>
  <conditionalFormatting sqref="C15:P15">
    <cfRule type="cellIs" dxfId="1" priority="5" operator="greaterThan">
      <formula>0</formula>
    </cfRule>
  </conditionalFormatting>
  <conditionalFormatting sqref="C17:P17">
    <cfRule type="cellIs" dxfId="0" priority="6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5D1E3-795E-401B-9512-98EBA4537A0E}">
  <dimension ref="A1:U33"/>
  <sheetViews>
    <sheetView workbookViewId="0">
      <selection activeCell="K10" sqref="K10"/>
    </sheetView>
  </sheetViews>
  <sheetFormatPr defaultRowHeight="15.6"/>
  <cols>
    <col min="1" max="1" width="4.44140625" style="34" customWidth="1"/>
    <col min="2" max="2" width="8.88671875" style="34" customWidth="1"/>
    <col min="3" max="3" width="63.21875" style="34" customWidth="1"/>
    <col min="4" max="4" width="9.109375" style="34" bestFit="1" customWidth="1"/>
    <col min="5" max="7" width="11.109375" style="34" bestFit="1" customWidth="1"/>
    <col min="8" max="9" width="15.77734375" style="34" customWidth="1"/>
    <col min="10" max="10" width="8.88671875" style="34"/>
    <col min="11" max="11" width="17.44140625" style="34" customWidth="1"/>
    <col min="12" max="12" width="16.77734375" style="34" customWidth="1"/>
    <col min="13" max="13" width="14.109375" style="34" customWidth="1"/>
    <col min="14" max="14" width="8.88671875" style="34"/>
    <col min="15" max="15" width="17.44140625" style="34" customWidth="1"/>
    <col min="16" max="16384" width="8.88671875" style="34"/>
  </cols>
  <sheetData>
    <row r="1" spans="1:21" ht="16.2" thickBot="1"/>
    <row r="2" spans="1:21" ht="24" customHeight="1" thickTop="1" thickBot="1">
      <c r="B2" s="133" t="s">
        <v>149</v>
      </c>
      <c r="C2" s="134"/>
      <c r="D2" s="134"/>
      <c r="E2" s="134"/>
      <c r="F2" s="134"/>
      <c r="G2" s="134"/>
      <c r="H2" s="134"/>
      <c r="I2" s="135"/>
      <c r="R2" s="61"/>
    </row>
    <row r="3" spans="1:21" ht="16.8" customHeight="1" thickTop="1" thickBot="1">
      <c r="B3" s="49"/>
      <c r="C3" s="50"/>
      <c r="D3" s="50"/>
      <c r="E3" s="50"/>
      <c r="F3" s="50"/>
      <c r="G3" s="50"/>
      <c r="H3" s="50"/>
      <c r="I3" s="51"/>
      <c r="R3" s="61"/>
    </row>
    <row r="4" spans="1:21" ht="17.55" customHeight="1" thickTop="1">
      <c r="B4" s="136" t="s">
        <v>45</v>
      </c>
      <c r="C4" s="137"/>
      <c r="D4" s="136" t="str">
        <f>"期望"&amp;普通兑换道具</f>
        <v>期望普通卷轴</v>
      </c>
      <c r="E4" s="140"/>
      <c r="F4" s="137"/>
      <c r="G4" s="140" t="str">
        <f>"期望"&amp;高级兑换道具</f>
        <v>期望高级卷轴</v>
      </c>
      <c r="H4" s="140"/>
      <c r="I4" s="137"/>
      <c r="R4" s="61"/>
    </row>
    <row r="5" spans="1:21" ht="17.55" customHeight="1">
      <c r="B5" s="138"/>
      <c r="C5" s="139"/>
      <c r="D5" s="138"/>
      <c r="E5" s="141"/>
      <c r="F5" s="139"/>
      <c r="G5" s="141"/>
      <c r="H5" s="141"/>
      <c r="I5" s="139"/>
      <c r="R5" s="61"/>
      <c r="T5" s="62"/>
      <c r="U5" s="62"/>
    </row>
    <row r="6" spans="1:21" ht="20.85" customHeight="1" thickBot="1">
      <c r="B6" s="142" t="str">
        <f>哥布林弹珠氪金!C32 &amp;"+"&amp;哥布林弹珠氪金!M32</f>
        <v>50400钻石+4500翡翠</v>
      </c>
      <c r="C6" s="143"/>
      <c r="D6" s="144">
        <f>哥布林弹珠氪金!O24</f>
        <v>22803.75</v>
      </c>
      <c r="E6" s="145"/>
      <c r="F6" s="146"/>
      <c r="G6" s="147">
        <f>哥布林弹珠氪金!O25</f>
        <v>1871.5500000000002</v>
      </c>
      <c r="H6" s="147"/>
      <c r="I6" s="148"/>
      <c r="R6" s="61"/>
      <c r="T6" s="62"/>
      <c r="U6" s="62"/>
    </row>
    <row r="7" spans="1:21" ht="13.35" customHeight="1" thickTop="1" thickBot="1">
      <c r="B7" s="52"/>
      <c r="C7" s="53"/>
      <c r="D7" s="54"/>
      <c r="E7" s="54"/>
      <c r="F7" s="55"/>
      <c r="G7" s="55"/>
      <c r="H7" s="56"/>
      <c r="I7" s="57"/>
      <c r="R7" s="61"/>
      <c r="T7" s="63"/>
      <c r="U7" s="63"/>
    </row>
    <row r="8" spans="1:21" ht="17.55" customHeight="1" thickTop="1">
      <c r="B8" s="121" t="s">
        <v>157</v>
      </c>
      <c r="C8" s="122"/>
      <c r="D8" s="122"/>
      <c r="E8" s="122"/>
      <c r="F8" s="122"/>
      <c r="G8" s="122"/>
      <c r="H8" s="122"/>
      <c r="I8" s="123"/>
      <c r="R8" s="61"/>
    </row>
    <row r="9" spans="1:21" ht="17.55" customHeight="1" thickBot="1">
      <c r="B9" s="124"/>
      <c r="C9" s="125"/>
      <c r="D9" s="125"/>
      <c r="E9" s="125"/>
      <c r="F9" s="125"/>
      <c r="G9" s="125"/>
      <c r="H9" s="125"/>
      <c r="I9" s="126"/>
      <c r="R9" s="61"/>
    </row>
    <row r="10" spans="1:21" ht="16.8" customHeight="1" thickTop="1" thickBot="1">
      <c r="B10" s="49"/>
      <c r="C10" s="50"/>
      <c r="D10" s="50"/>
      <c r="E10" s="50"/>
      <c r="F10" s="50"/>
      <c r="G10" s="50"/>
      <c r="H10" s="50"/>
      <c r="I10" s="51"/>
      <c r="R10" s="61"/>
    </row>
    <row r="11" spans="1:21" ht="19.2" customHeight="1" thickTop="1">
      <c r="B11" s="43" t="s">
        <v>35</v>
      </c>
      <c r="C11" s="44" t="s">
        <v>44</v>
      </c>
      <c r="D11" s="44" t="str">
        <f>哥布林弹珠氪金!B20</f>
        <v>目标档位</v>
      </c>
      <c r="E11" s="44" t="str">
        <f>哥布林弹珠氪金!B13</f>
        <v>使用制作券</v>
      </c>
      <c r="F11" s="44" t="str">
        <f>哥布林弹珠氪金!B14</f>
        <v>剩余制作券</v>
      </c>
      <c r="G11" s="44" t="str">
        <f>哥布林弹珠氪金!B16</f>
        <v>剩余随机箱</v>
      </c>
      <c r="H11" s="44" t="str">
        <f>"期望"&amp;普通兑换道具</f>
        <v>期望普通卷轴</v>
      </c>
      <c r="I11" s="45" t="str">
        <f>"期望"&amp;高级兑换道具</f>
        <v>期望高级卷轴</v>
      </c>
      <c r="R11" s="61"/>
    </row>
    <row r="12" spans="1:21" ht="36">
      <c r="A12" s="34" t="s">
        <v>155</v>
      </c>
      <c r="B12" s="41" t="s">
        <v>36</v>
      </c>
      <c r="C12" s="37" t="s">
        <v>151</v>
      </c>
      <c r="D12" s="37" t="str">
        <f>哥布林弹珠氪金!C20</f>
        <v>第3档</v>
      </c>
      <c r="E12" s="37">
        <f>哥布林弹珠氪金!C13</f>
        <v>167</v>
      </c>
      <c r="F12" s="37">
        <f>哥布林弹珠氪金!C14</f>
        <v>208</v>
      </c>
      <c r="G12" s="37">
        <f>哥布林弹珠氪金!C16</f>
        <v>14</v>
      </c>
      <c r="H12" s="38">
        <f>哥布林弹珠氪金!C24</f>
        <v>1962.25</v>
      </c>
      <c r="I12" s="42">
        <f>哥布林弹珠氪金!C25</f>
        <v>50.100000000000009</v>
      </c>
      <c r="R12" s="61"/>
    </row>
    <row r="13" spans="1:21" ht="39.6">
      <c r="A13" s="34" t="s">
        <v>155</v>
      </c>
      <c r="B13" s="39" t="s">
        <v>37</v>
      </c>
      <c r="C13" s="35" t="s">
        <v>150</v>
      </c>
      <c r="D13" s="35" t="str">
        <f>哥布林弹珠氪金!E20</f>
        <v>第3档</v>
      </c>
      <c r="E13" s="35">
        <f>哥布林弹珠氪金!E13</f>
        <v>334</v>
      </c>
      <c r="F13" s="35">
        <f>哥布林弹珠氪金!E14</f>
        <v>244</v>
      </c>
      <c r="G13" s="35">
        <f>哥布林弹珠氪金!E16</f>
        <v>28</v>
      </c>
      <c r="H13" s="36">
        <f>哥布林弹珠氪金!E24</f>
        <v>5886.75</v>
      </c>
      <c r="I13" s="40">
        <f>哥布林弹珠氪金!E25</f>
        <v>150.30000000000001</v>
      </c>
      <c r="R13" s="61"/>
    </row>
    <row r="14" spans="1:21" ht="28.2">
      <c r="B14" s="39" t="s">
        <v>38</v>
      </c>
      <c r="C14" s="35" t="s">
        <v>152</v>
      </c>
      <c r="D14" s="35" t="str">
        <f>哥布林弹珠氪金!G20</f>
        <v>第2档</v>
      </c>
      <c r="E14" s="36">
        <f>哥布林弹珠氪金!G13</f>
        <v>167</v>
      </c>
      <c r="F14" s="36">
        <f>哥布林弹珠氪金!G14</f>
        <v>322</v>
      </c>
      <c r="G14" s="36">
        <f>哥布林弹珠氪金!G16</f>
        <v>31</v>
      </c>
      <c r="H14" s="36">
        <f>哥布林弹珠氪金!G24</f>
        <v>7849</v>
      </c>
      <c r="I14" s="40">
        <f>哥布林弹珠氪金!G25</f>
        <v>200.40000000000003</v>
      </c>
      <c r="R14" s="61"/>
    </row>
    <row r="15" spans="1:21" ht="28.2">
      <c r="B15" s="39" t="s">
        <v>39</v>
      </c>
      <c r="C15" s="35" t="s">
        <v>152</v>
      </c>
      <c r="D15" s="35" t="str">
        <f>哥布林弹珠氪金!I20</f>
        <v>第2档</v>
      </c>
      <c r="E15" s="36">
        <f>哥布林弹珠氪金!I13</f>
        <v>167</v>
      </c>
      <c r="F15" s="36">
        <f>哥布林弹珠氪金!I14</f>
        <v>400</v>
      </c>
      <c r="G15" s="36">
        <f>哥布林弹珠氪金!I16</f>
        <v>34</v>
      </c>
      <c r="H15" s="36">
        <f>哥布林弹珠氪金!I24</f>
        <v>9811.25</v>
      </c>
      <c r="I15" s="40">
        <f>哥布林弹珠氪金!I25</f>
        <v>250.50000000000006</v>
      </c>
      <c r="R15" s="61"/>
    </row>
    <row r="16" spans="1:21" ht="28.2">
      <c r="B16" s="39" t="s">
        <v>40</v>
      </c>
      <c r="C16" s="35" t="s">
        <v>152</v>
      </c>
      <c r="D16" s="35" t="str">
        <f>哥布林弹珠氪金!K20</f>
        <v>第2档</v>
      </c>
      <c r="E16" s="35">
        <f>哥布林弹珠氪金!K13</f>
        <v>167</v>
      </c>
      <c r="F16" s="35">
        <f>哥布林弹珠氪金!K14</f>
        <v>478</v>
      </c>
      <c r="G16" s="35">
        <f>哥布林弹珠氪金!K16</f>
        <v>37</v>
      </c>
      <c r="H16" s="36">
        <f>哥布林弹珠氪金!K24</f>
        <v>11773.5</v>
      </c>
      <c r="I16" s="40">
        <f>哥布林弹珠氪金!K25</f>
        <v>300.60000000000008</v>
      </c>
      <c r="R16" s="61"/>
    </row>
    <row r="17" spans="1:18" ht="39.6">
      <c r="B17" s="39" t="s">
        <v>41</v>
      </c>
      <c r="C17" s="35" t="s">
        <v>153</v>
      </c>
      <c r="D17" s="35" t="str">
        <f>哥布林弹珠氪金!M20</f>
        <v>第3档</v>
      </c>
      <c r="E17" s="35">
        <f>哥布林弹珠氪金!M13</f>
        <v>334</v>
      </c>
      <c r="F17" s="35">
        <f>哥布林弹珠氪金!M14</f>
        <v>514</v>
      </c>
      <c r="G17" s="35">
        <f>哥布林弹珠氪金!M16</f>
        <v>51</v>
      </c>
      <c r="H17" s="36">
        <f>哥布林弹珠氪金!M24</f>
        <v>15698</v>
      </c>
      <c r="I17" s="40">
        <f>哥布林弹珠氪金!M25</f>
        <v>400.80000000000007</v>
      </c>
      <c r="R17" s="61"/>
    </row>
    <row r="18" spans="1:18" ht="48.6" thickBot="1">
      <c r="A18" s="34" t="s">
        <v>47</v>
      </c>
      <c r="B18" s="46" t="s">
        <v>42</v>
      </c>
      <c r="C18" s="47" t="s">
        <v>154</v>
      </c>
      <c r="D18" s="48" t="str">
        <f>哥布林弹珠氪金!O20</f>
        <v>第3档</v>
      </c>
      <c r="E18" s="47">
        <f>哥布林弹珠氪金!O13</f>
        <v>809</v>
      </c>
      <c r="F18" s="47">
        <f>哥布林弹珠氪金!O14</f>
        <v>0</v>
      </c>
      <c r="G18" s="47">
        <f>哥布林弹珠氪金!O16</f>
        <v>0</v>
      </c>
      <c r="H18" s="48">
        <f>哥布林弹珠氪金!O24</f>
        <v>22803.75</v>
      </c>
      <c r="I18" s="58">
        <f>哥布林弹珠氪金!O25</f>
        <v>1871.5500000000002</v>
      </c>
      <c r="R18" s="61"/>
    </row>
    <row r="19" spans="1:18" ht="17.399999999999999" customHeight="1" thickTop="1" thickBot="1">
      <c r="B19" s="49"/>
      <c r="C19" s="50"/>
      <c r="D19" s="50"/>
      <c r="E19" s="50"/>
      <c r="F19" s="50"/>
      <c r="G19" s="50"/>
      <c r="H19" s="50"/>
      <c r="I19" s="51"/>
      <c r="R19" s="61"/>
    </row>
    <row r="20" spans="1:18" ht="18.45" customHeight="1" thickTop="1">
      <c r="B20" s="127" t="s">
        <v>43</v>
      </c>
      <c r="C20" s="128"/>
      <c r="D20" s="128"/>
      <c r="E20" s="128"/>
      <c r="F20" s="128"/>
      <c r="G20" s="128"/>
      <c r="H20" s="128"/>
      <c r="I20" s="129"/>
      <c r="R20" s="61"/>
    </row>
    <row r="21" spans="1:18" ht="66" customHeight="1" thickBot="1">
      <c r="B21" s="130" t="s">
        <v>156</v>
      </c>
      <c r="C21" s="131"/>
      <c r="D21" s="131"/>
      <c r="E21" s="131"/>
      <c r="F21" s="131"/>
      <c r="G21" s="131"/>
      <c r="H21" s="131"/>
      <c r="I21" s="132"/>
      <c r="R21" s="61"/>
    </row>
    <row r="22" spans="1:18" ht="34.5" customHeight="1" thickTop="1">
      <c r="B22" s="64"/>
      <c r="C22" s="64"/>
      <c r="D22" s="64"/>
      <c r="E22" s="64"/>
      <c r="F22" s="64"/>
      <c r="G22" s="64"/>
      <c r="H22" s="64"/>
      <c r="I22" s="64"/>
      <c r="R22" s="61"/>
    </row>
    <row r="23" spans="1:18" ht="12.9" customHeight="1">
      <c r="B23" s="64"/>
      <c r="C23" s="64"/>
      <c r="D23" s="64"/>
      <c r="E23" s="64"/>
      <c r="F23" s="64"/>
      <c r="G23" s="64"/>
      <c r="H23" s="64"/>
      <c r="I23" s="64"/>
      <c r="R23" s="61"/>
    </row>
    <row r="24" spans="1:18" ht="15.6" customHeight="1">
      <c r="R24" s="61"/>
    </row>
    <row r="25" spans="1:18" ht="16.2" customHeight="1">
      <c r="B25" s="65"/>
      <c r="C25" s="65"/>
      <c r="D25" s="65"/>
      <c r="E25" s="65"/>
      <c r="F25" s="65"/>
      <c r="G25" s="65"/>
      <c r="H25" s="65"/>
      <c r="I25" s="65"/>
      <c r="R25" s="61"/>
    </row>
    <row r="26" spans="1:18" ht="15.3" customHeight="1">
      <c r="B26" s="65"/>
      <c r="C26" s="65"/>
      <c r="D26" s="65"/>
      <c r="E26" s="65"/>
      <c r="F26" s="65"/>
      <c r="G26" s="65"/>
      <c r="H26" s="65"/>
      <c r="I26" s="65"/>
      <c r="R26" s="61"/>
    </row>
    <row r="27" spans="1:18" ht="22.95" customHeight="1">
      <c r="B27" s="65"/>
      <c r="C27" s="65"/>
      <c r="D27" s="65"/>
      <c r="E27" s="65"/>
      <c r="F27" s="65"/>
      <c r="G27" s="65"/>
      <c r="H27" s="65"/>
      <c r="I27" s="65"/>
      <c r="R27" s="61"/>
    </row>
    <row r="28" spans="1:18" ht="22.95" customHeight="1">
      <c r="N28" s="61"/>
      <c r="O28" s="61"/>
      <c r="P28" s="61"/>
      <c r="Q28" s="61"/>
      <c r="R28" s="61"/>
    </row>
    <row r="29" spans="1:18" ht="22.95" customHeight="1">
      <c r="N29" s="61"/>
      <c r="O29" s="61"/>
      <c r="P29" s="61"/>
      <c r="Q29" s="61"/>
      <c r="R29" s="61"/>
    </row>
    <row r="30" spans="1:18" ht="15.6" customHeight="1">
      <c r="N30" s="61"/>
      <c r="O30" s="61"/>
      <c r="P30" s="61"/>
      <c r="Q30" s="61"/>
      <c r="R30" s="61"/>
    </row>
    <row r="31" spans="1:18" ht="20.55" customHeight="1">
      <c r="N31" s="61"/>
      <c r="O31" s="61"/>
      <c r="P31" s="61"/>
      <c r="Q31" s="61"/>
      <c r="R31" s="61"/>
    </row>
    <row r="32" spans="1:18" ht="15.6" customHeight="1">
      <c r="N32" s="61"/>
      <c r="O32" s="61"/>
      <c r="P32" s="61"/>
      <c r="Q32" s="61"/>
      <c r="R32" s="61"/>
    </row>
    <row r="33" ht="17.850000000000001" customHeight="1"/>
  </sheetData>
  <mergeCells count="10">
    <mergeCell ref="B8:I9"/>
    <mergeCell ref="B20:I20"/>
    <mergeCell ref="B21:I21"/>
    <mergeCell ref="B2:I2"/>
    <mergeCell ref="B4:C5"/>
    <mergeCell ref="D4:F5"/>
    <mergeCell ref="G4:I5"/>
    <mergeCell ref="B6:C6"/>
    <mergeCell ref="D6:F6"/>
    <mergeCell ref="G6:I6"/>
  </mergeCells>
  <phoneticPr fontId="2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30</vt:i4>
      </vt:variant>
    </vt:vector>
  </HeadingPairs>
  <TitlesOfParts>
    <vt:vector size="38" baseType="lpstr">
      <vt:lpstr>兑换列表</vt:lpstr>
      <vt:lpstr>基础计算设置</vt:lpstr>
      <vt:lpstr>哥布林弹珠5w</vt:lpstr>
      <vt:lpstr>哥布林5w钻攻略图</vt:lpstr>
      <vt:lpstr>哥布林弹珠1.3w</vt:lpstr>
      <vt:lpstr>哥布林1.3w钻攻略图</vt:lpstr>
      <vt:lpstr>哥布林弹珠氪金</vt:lpstr>
      <vt:lpstr>哥布林4500翡翠攻略图</vt:lpstr>
      <vt:lpstr>抽奖道具</vt:lpstr>
      <vt:lpstr>档位积分1</vt:lpstr>
      <vt:lpstr>档位积分2</vt:lpstr>
      <vt:lpstr>档位积分3</vt:lpstr>
      <vt:lpstr>档位积分4</vt:lpstr>
      <vt:lpstr>档位积分5</vt:lpstr>
      <vt:lpstr>档位奖励1</vt:lpstr>
      <vt:lpstr>档位奖励2</vt:lpstr>
      <vt:lpstr>档位奖励3</vt:lpstr>
      <vt:lpstr>档位奖励4</vt:lpstr>
      <vt:lpstr>档位奖励5</vt:lpstr>
      <vt:lpstr>第1档</vt:lpstr>
      <vt:lpstr>第5档</vt:lpstr>
      <vt:lpstr>翡翠100</vt:lpstr>
      <vt:lpstr>翡翠10000</vt:lpstr>
      <vt:lpstr>高级兑换道具</vt:lpstr>
      <vt:lpstr>高级兑换道具数量</vt:lpstr>
      <vt:lpstr>积分规则1</vt:lpstr>
      <vt:lpstr>积分规则2</vt:lpstr>
      <vt:lpstr>积分规则3</vt:lpstr>
      <vt:lpstr>价格6</vt:lpstr>
      <vt:lpstr>价格648</vt:lpstr>
      <vt:lpstr>普通兑换道具</vt:lpstr>
      <vt:lpstr>普通兑换道具数量</vt:lpstr>
      <vt:lpstr>实测高级兑换道具数量</vt:lpstr>
      <vt:lpstr>实测普通兑换道具数量</vt:lpstr>
      <vt:lpstr>随机箱高级道具</vt:lpstr>
      <vt:lpstr>随机箱积分</vt:lpstr>
      <vt:lpstr>钻石购买</vt:lpstr>
      <vt:lpstr>钻石限购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chicken tree</cp:lastModifiedBy>
  <dcterms:modified xsi:type="dcterms:W3CDTF">2026-08-17T00:46:53Z</dcterms:modified>
</cp:coreProperties>
</file>