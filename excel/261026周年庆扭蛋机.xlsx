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卡皮模拟\攻略图生成器\excel\"/>
    </mc:Choice>
  </mc:AlternateContent>
  <xr:revisionPtr revIDLastSave="0" documentId="13_ncr:1_{7620CC01-4CFE-49DF-8C23-4863CD1748B0}" xr6:coauthVersionLast="47" xr6:coauthVersionMax="47" xr10:uidLastSave="{00000000-0000-0000-0000-000000000000}"/>
  <bookViews>
    <workbookView xWindow="22932" yWindow="-108" windowWidth="23256" windowHeight="12456" activeTab="4" xr2:uid="{00000000-000D-0000-FFFF-FFFF00000000}"/>
  </bookViews>
  <sheets>
    <sheet name="氪金转盘" sheetId="16" r:id="rId1"/>
    <sheet name="兑换列表" sheetId="14" r:id="rId2"/>
    <sheet name="基础计算设置" sheetId="2" r:id="rId3"/>
    <sheet name="9.8w钻" sheetId="3" r:id="rId4"/>
    <sheet name="12000翡翠" sheetId="17" r:id="rId5"/>
  </sheets>
  <definedNames>
    <definedName name="抽奖道具" localSheetId="1">基础计算设置!$B$1</definedName>
    <definedName name="抽奖道具">基础计算设置!$B$1</definedName>
    <definedName name="抽奖道具礼包1">基础计算设置!$P$2</definedName>
    <definedName name="抽奖道具礼包2">基础计算设置!$P$3</definedName>
    <definedName name="抽奖道具礼包3">基础计算设置!$P$4</definedName>
    <definedName name="抽奖道具礼包4">基础计算设置!$P$5</definedName>
    <definedName name="抽奖道具礼包5">基础计算设置!$P$6</definedName>
    <definedName name="抽奖道具礼包6">基础计算设置!$P$7</definedName>
    <definedName name="抽奖道具礼包7">基础计算设置!$P$8</definedName>
    <definedName name="抽奖道具礼包道具数">基础计算设置!$P$2:$P$8</definedName>
    <definedName name="抽奖道具礼包翡翠">基础计算设置!$N$2:$N$8</definedName>
    <definedName name="抽奖道具礼包价格">基础计算设置!$M$2:$M$8</definedName>
    <definedName name="档位积分1">基础计算设置!$B$6</definedName>
    <definedName name="档位积分2">基础计算设置!$B$7</definedName>
    <definedName name="档位积分3">基础计算设置!$B$8</definedName>
    <definedName name="档位积分4">基础计算设置!$B$9</definedName>
    <definedName name="档位积分5" localSheetId="1">基础计算设置!$B$10</definedName>
    <definedName name="档位积分5">基础计算设置!$B$10</definedName>
    <definedName name="档位奖励1" localSheetId="1">基础计算设置!$C$6</definedName>
    <definedName name="档位奖励1">基础计算设置!$C$6</definedName>
    <definedName name="档位奖励2">基础计算设置!$C$7</definedName>
    <definedName name="档位奖励3">基础计算设置!$C$8</definedName>
    <definedName name="档位奖励4">基础计算设置!$C$9</definedName>
    <definedName name="档位奖励5" localSheetId="1">基础计算设置!$C$10</definedName>
    <definedName name="档位奖励5">基础计算设置!$C$10</definedName>
    <definedName name="第1档" localSheetId="1">基础计算设置!$A$6</definedName>
    <definedName name="第1档">基础计算设置!$A$6</definedName>
    <definedName name="第5档" localSheetId="1">基础计算设置!$A$10</definedName>
    <definedName name="第5档">基础计算设置!$A$10</definedName>
    <definedName name="翡翠100">基础计算设置!$T$2</definedName>
    <definedName name="翡翠10000">基础计算设置!$T$9</definedName>
    <definedName name="高级兑换道具" localSheetId="1">基础计算设置!$B$3</definedName>
    <definedName name="高级兑换道具">基础计算设置!$B$3</definedName>
    <definedName name="高级兑换道具抽奖期望">基础计算设置!$I$4</definedName>
    <definedName name="高级兑换道具礼包1">基础计算设置!$P$11</definedName>
    <definedName name="高级兑换道具礼包2">基础计算设置!$P$12</definedName>
    <definedName name="高级兑换道具礼包3">基础计算设置!$P$13</definedName>
    <definedName name="高级兑换道具礼包4">基础计算设置!$P$14</definedName>
    <definedName name="高级兑换道具礼包道具数">基础计算设置!$P$11:$P$14</definedName>
    <definedName name="高级兑换道具礼包翡翠">基础计算设置!$N$11:$N$14</definedName>
    <definedName name="高级兑换道具礼包价格">基础计算设置!$M$11:$M$14</definedName>
    <definedName name="积分规则1">基础计算设置!$B$13</definedName>
    <definedName name="积分规则2">基础计算设置!$B$14</definedName>
    <definedName name="积分规则3">基础计算设置!$B$15</definedName>
    <definedName name="价格6">基础计算设置!$S$2</definedName>
    <definedName name="价格648" localSheetId="1">基础计算设置!$A$36</definedName>
    <definedName name="价格648">基础计算设置!$S$9</definedName>
    <definedName name="氪金基金抽奖道具">基础计算设置!$P$18</definedName>
    <definedName name="氪金基金翡翠">基础计算设置!$N$18</definedName>
    <definedName name="氪金基金价格">基础计算设置!$M$18</definedName>
    <definedName name="氪金基金随机箱">基础计算设置!$Q$18</definedName>
    <definedName name="每日广告抽奖道具数量">基础计算设置!$B$30</definedName>
    <definedName name="每日任务抽奖道具数量">基础计算设置!$B$29</definedName>
    <definedName name="免费基金抽奖道具">基础计算设置!$P$17</definedName>
    <definedName name="免费基金随机箱">基础计算设置!$Q$17</definedName>
    <definedName name="普通兑换道具" localSheetId="1">基础计算设置!$B$2</definedName>
    <definedName name="普通兑换道具">基础计算设置!$B$2</definedName>
    <definedName name="普通兑换道具抽奖期望">基础计算设置!$I$3</definedName>
    <definedName name="首次登录抽奖道具数量">基础计算设置!$B$31</definedName>
    <definedName name="随机箱高级道具期望" localSheetId="1">基础计算设置!$C$26</definedName>
    <definedName name="随机箱高级道具期望">基础计算设置!$C$26</definedName>
    <definedName name="随机箱积分" localSheetId="1">基础计算设置!$D$26</definedName>
    <definedName name="随机箱积分">基础计算设置!$D$26</definedName>
    <definedName name="钻石购买">基础计算设置!$B$18</definedName>
    <definedName name="钻石限购">基础计算设置!$B$19</definedName>
  </definedNames>
  <calcPr calcId="181029"/>
</workbook>
</file>

<file path=xl/calcChain.xml><?xml version="1.0" encoding="utf-8"?>
<calcChain xmlns="http://schemas.openxmlformats.org/spreadsheetml/2006/main">
  <c r="B15" i="2" l="1"/>
  <c r="A13" i="2"/>
  <c r="A14" i="2"/>
  <c r="C32" i="2"/>
  <c r="I4" i="2"/>
  <c r="I26" i="2"/>
  <c r="I25" i="2"/>
  <c r="I24" i="2"/>
  <c r="I23" i="2"/>
  <c r="F23" i="2"/>
  <c r="I22" i="2"/>
  <c r="F22" i="2"/>
  <c r="I21" i="2"/>
  <c r="F21" i="2"/>
  <c r="I20" i="2"/>
  <c r="F20" i="2"/>
  <c r="I16" i="2"/>
  <c r="I15" i="2"/>
  <c r="F15" i="2"/>
  <c r="I14" i="2"/>
  <c r="F14" i="2"/>
  <c r="I13" i="2"/>
  <c r="F13" i="2"/>
  <c r="I12" i="2"/>
  <c r="F12" i="2"/>
  <c r="I11" i="2"/>
  <c r="F11" i="2"/>
  <c r="I10" i="2"/>
  <c r="F4" i="2"/>
  <c r="F3" i="2"/>
  <c r="O42" i="17"/>
  <c r="M42" i="17"/>
  <c r="K42" i="17"/>
  <c r="I42" i="17"/>
  <c r="G42" i="17"/>
  <c r="E42" i="17"/>
  <c r="C42" i="17"/>
  <c r="B42" i="17"/>
  <c r="O41" i="17"/>
  <c r="M41" i="17"/>
  <c r="K41" i="17"/>
  <c r="I41" i="17"/>
  <c r="G41" i="17"/>
  <c r="E41" i="17"/>
  <c r="C41" i="17"/>
  <c r="B41" i="17"/>
  <c r="O40" i="17"/>
  <c r="M40" i="17"/>
  <c r="K40" i="17"/>
  <c r="I40" i="17"/>
  <c r="G40" i="17"/>
  <c r="E40" i="17"/>
  <c r="C40" i="17"/>
  <c r="B40" i="17"/>
  <c r="O39" i="17"/>
  <c r="M39" i="17"/>
  <c r="K39" i="17"/>
  <c r="I39" i="17"/>
  <c r="G39" i="17"/>
  <c r="E39" i="17"/>
  <c r="C39" i="17"/>
  <c r="B39" i="17"/>
  <c r="O38" i="17"/>
  <c r="M38" i="17"/>
  <c r="K38" i="17"/>
  <c r="I38" i="17"/>
  <c r="G38" i="17"/>
  <c r="E38" i="17"/>
  <c r="C38" i="17"/>
  <c r="O37" i="17"/>
  <c r="M37" i="17"/>
  <c r="K37" i="17"/>
  <c r="I37" i="17"/>
  <c r="G37" i="17"/>
  <c r="E37" i="17"/>
  <c r="C37" i="17"/>
  <c r="B37" i="17"/>
  <c r="O36" i="17"/>
  <c r="M36" i="17"/>
  <c r="K36" i="17"/>
  <c r="I36" i="17"/>
  <c r="G36" i="17"/>
  <c r="E36" i="17"/>
  <c r="C36" i="17"/>
  <c r="B36" i="17"/>
  <c r="O35" i="17"/>
  <c r="M35" i="17"/>
  <c r="K35" i="17"/>
  <c r="I35" i="17"/>
  <c r="G35" i="17"/>
  <c r="E35" i="17"/>
  <c r="C35" i="17"/>
  <c r="B35" i="17"/>
  <c r="O34" i="17"/>
  <c r="M34" i="17"/>
  <c r="K34" i="17"/>
  <c r="I34" i="17"/>
  <c r="G34" i="17"/>
  <c r="E34" i="17"/>
  <c r="C34" i="17"/>
  <c r="B34" i="17"/>
  <c r="O33" i="17"/>
  <c r="M33" i="17"/>
  <c r="K33" i="17"/>
  <c r="I33" i="17"/>
  <c r="G33" i="17"/>
  <c r="E33" i="17"/>
  <c r="C33" i="17"/>
  <c r="B33" i="17"/>
  <c r="O32" i="17"/>
  <c r="M32" i="17"/>
  <c r="K32" i="17"/>
  <c r="I32" i="17"/>
  <c r="G32" i="17"/>
  <c r="E32" i="17"/>
  <c r="C32" i="17"/>
  <c r="B32" i="17"/>
  <c r="O31" i="17"/>
  <c r="M31" i="17"/>
  <c r="K31" i="17"/>
  <c r="I31" i="17"/>
  <c r="G31" i="17"/>
  <c r="E31" i="17"/>
  <c r="C31" i="17"/>
  <c r="B31" i="17"/>
  <c r="B29" i="17"/>
  <c r="B28" i="17"/>
  <c r="B26" i="17"/>
  <c r="O22" i="17"/>
  <c r="P22" i="17" s="1"/>
  <c r="M22" i="17"/>
  <c r="N22" i="17" s="1"/>
  <c r="K22" i="17"/>
  <c r="L22" i="17" s="1"/>
  <c r="I22" i="17"/>
  <c r="J22" i="17" s="1"/>
  <c r="G22" i="17"/>
  <c r="H22" i="17" s="1"/>
  <c r="E22" i="17"/>
  <c r="F22" i="17" s="1"/>
  <c r="C22" i="17"/>
  <c r="D22" i="17" s="1"/>
  <c r="B22" i="17"/>
  <c r="P21" i="17"/>
  <c r="N21" i="17"/>
  <c r="L21" i="17"/>
  <c r="J21" i="17"/>
  <c r="H21" i="17"/>
  <c r="F21" i="17"/>
  <c r="D21" i="17"/>
  <c r="B21" i="17"/>
  <c r="B18" i="17"/>
  <c r="B17" i="17"/>
  <c r="O16" i="17"/>
  <c r="P16" i="17" s="1"/>
  <c r="M16" i="17"/>
  <c r="N16" i="17" s="1"/>
  <c r="K16" i="17"/>
  <c r="L16" i="17" s="1"/>
  <c r="I16" i="17"/>
  <c r="J16" i="17" s="1"/>
  <c r="G16" i="17"/>
  <c r="H16" i="17" s="1"/>
  <c r="E16" i="17"/>
  <c r="F16" i="17" s="1"/>
  <c r="C16" i="17"/>
  <c r="D16" i="17" s="1"/>
  <c r="O15" i="17"/>
  <c r="P15" i="17" s="1"/>
  <c r="M15" i="17"/>
  <c r="N15" i="17" s="1"/>
  <c r="K15" i="17"/>
  <c r="L15" i="17" s="1"/>
  <c r="I15" i="17"/>
  <c r="J15" i="17" s="1"/>
  <c r="G15" i="17"/>
  <c r="H15" i="17" s="1"/>
  <c r="E15" i="17"/>
  <c r="F15" i="17" s="1"/>
  <c r="C15" i="17"/>
  <c r="D15" i="17" s="1"/>
  <c r="P14" i="17"/>
  <c r="N14" i="17"/>
  <c r="L14" i="17"/>
  <c r="J14" i="17"/>
  <c r="H14" i="17"/>
  <c r="F14" i="17"/>
  <c r="D14" i="17"/>
  <c r="O13" i="17"/>
  <c r="P13" i="17" s="1"/>
  <c r="M13" i="17"/>
  <c r="N13" i="17" s="1"/>
  <c r="K13" i="17"/>
  <c r="L13" i="17" s="1"/>
  <c r="I13" i="17"/>
  <c r="J13" i="17" s="1"/>
  <c r="G13" i="17"/>
  <c r="H13" i="17" s="1"/>
  <c r="E13" i="17"/>
  <c r="F13" i="17" s="1"/>
  <c r="C13" i="17"/>
  <c r="D13" i="17" s="1"/>
  <c r="P12" i="17"/>
  <c r="N12" i="17"/>
  <c r="L12" i="17"/>
  <c r="J12" i="17"/>
  <c r="H12" i="17"/>
  <c r="F12" i="17"/>
  <c r="D12" i="17"/>
  <c r="O11" i="17"/>
  <c r="P11" i="17" s="1"/>
  <c r="M11" i="17"/>
  <c r="N11" i="17" s="1"/>
  <c r="K11" i="17"/>
  <c r="L11" i="17" s="1"/>
  <c r="I11" i="17"/>
  <c r="J11" i="17" s="1"/>
  <c r="G11" i="17"/>
  <c r="H11" i="17" s="1"/>
  <c r="E11" i="17"/>
  <c r="F11" i="17" s="1"/>
  <c r="C11" i="17"/>
  <c r="D11" i="17" s="1"/>
  <c r="P10" i="17"/>
  <c r="N10" i="17"/>
  <c r="L10" i="17"/>
  <c r="J10" i="17"/>
  <c r="H10" i="17"/>
  <c r="F10" i="17"/>
  <c r="D10" i="17"/>
  <c r="O9" i="17"/>
  <c r="P9" i="17" s="1"/>
  <c r="M9" i="17"/>
  <c r="N9" i="17" s="1"/>
  <c r="K9" i="17"/>
  <c r="L9" i="17" s="1"/>
  <c r="I9" i="17"/>
  <c r="J9" i="17" s="1"/>
  <c r="G9" i="17"/>
  <c r="H9" i="17" s="1"/>
  <c r="E9" i="17"/>
  <c r="F9" i="17" s="1"/>
  <c r="C9" i="17"/>
  <c r="D9" i="17" s="1"/>
  <c r="P8" i="17"/>
  <c r="N8" i="17"/>
  <c r="L8" i="17"/>
  <c r="J8" i="17"/>
  <c r="H8" i="17"/>
  <c r="F8" i="17"/>
  <c r="C8" i="17"/>
  <c r="O7" i="17"/>
  <c r="O30" i="17" s="1"/>
  <c r="M7" i="17"/>
  <c r="M30" i="17" s="1"/>
  <c r="K7" i="17"/>
  <c r="K30" i="17" s="1"/>
  <c r="I7" i="17"/>
  <c r="I30" i="17" s="1"/>
  <c r="G7" i="17"/>
  <c r="G30" i="17" s="1"/>
  <c r="E7" i="17"/>
  <c r="E30" i="17" s="1"/>
  <c r="C7" i="17"/>
  <c r="C30" i="17" s="1"/>
  <c r="I3" i="17"/>
  <c r="C3" i="17"/>
  <c r="E14" i="16"/>
  <c r="D14" i="16"/>
  <c r="C14" i="16"/>
  <c r="F11" i="16"/>
  <c r="F10" i="16"/>
  <c r="B10" i="16"/>
  <c r="F9" i="16"/>
  <c r="B9" i="16"/>
  <c r="B14" i="16" s="1"/>
  <c r="F8" i="16"/>
  <c r="F7" i="16"/>
  <c r="F6" i="16"/>
  <c r="F5" i="16"/>
  <c r="F34" i="2"/>
  <c r="F33" i="2"/>
  <c r="I30" i="2"/>
  <c r="I31" i="2" s="1"/>
  <c r="C8" i="2"/>
  <c r="C9" i="2" s="1"/>
  <c r="C10" i="2" s="1"/>
  <c r="B21" i="3"/>
  <c r="D21" i="3"/>
  <c r="F21" i="3"/>
  <c r="H21" i="3"/>
  <c r="J21" i="3"/>
  <c r="L21" i="3"/>
  <c r="N21" i="3"/>
  <c r="P21" i="3"/>
  <c r="C8" i="3"/>
  <c r="C31" i="2"/>
  <c r="L7" i="2"/>
  <c r="L8" i="2"/>
  <c r="L10" i="2"/>
  <c r="L11" i="2"/>
  <c r="L12" i="2"/>
  <c r="L13" i="2"/>
  <c r="L14" i="2"/>
  <c r="D8" i="17" l="1"/>
  <c r="C26" i="17"/>
  <c r="I34" i="2"/>
  <c r="I32" i="2"/>
  <c r="I33" i="2"/>
  <c r="I3" i="2" s="1"/>
  <c r="O42" i="3"/>
  <c r="O41" i="3"/>
  <c r="O40" i="3"/>
  <c r="O39" i="3"/>
  <c r="M42" i="3"/>
  <c r="M41" i="3"/>
  <c r="M40" i="3"/>
  <c r="M39" i="3"/>
  <c r="K42" i="3"/>
  <c r="K41" i="3"/>
  <c r="K40" i="3"/>
  <c r="K39" i="3"/>
  <c r="I42" i="3"/>
  <c r="I41" i="3"/>
  <c r="I40" i="3"/>
  <c r="I39" i="3"/>
  <c r="G42" i="3"/>
  <c r="G41" i="3"/>
  <c r="G40" i="3"/>
  <c r="G39" i="3"/>
  <c r="E42" i="3"/>
  <c r="E41" i="3"/>
  <c r="E40" i="3"/>
  <c r="E39" i="3"/>
  <c r="C42" i="3"/>
  <c r="C41" i="3"/>
  <c r="C40" i="3"/>
  <c r="C39" i="3"/>
  <c r="O38" i="3"/>
  <c r="M38" i="3"/>
  <c r="K38" i="3"/>
  <c r="I38" i="3"/>
  <c r="G38" i="3"/>
  <c r="E38" i="3"/>
  <c r="C38" i="3"/>
  <c r="O37" i="3"/>
  <c r="O36" i="3"/>
  <c r="O35" i="3"/>
  <c r="O34" i="3"/>
  <c r="O33" i="3"/>
  <c r="O32" i="3"/>
  <c r="O31" i="3"/>
  <c r="M37" i="3"/>
  <c r="M36" i="3"/>
  <c r="M35" i="3"/>
  <c r="M34" i="3"/>
  <c r="M33" i="3"/>
  <c r="M32" i="3"/>
  <c r="M31" i="3"/>
  <c r="K37" i="3"/>
  <c r="K36" i="3"/>
  <c r="K35" i="3"/>
  <c r="K34" i="3"/>
  <c r="K33" i="3"/>
  <c r="K32" i="3"/>
  <c r="K31" i="3"/>
  <c r="I37" i="3"/>
  <c r="I36" i="3"/>
  <c r="I35" i="3"/>
  <c r="I34" i="3"/>
  <c r="I33" i="3"/>
  <c r="I32" i="3"/>
  <c r="I31" i="3"/>
  <c r="G37" i="3"/>
  <c r="G36" i="3"/>
  <c r="G35" i="3"/>
  <c r="G34" i="3"/>
  <c r="G33" i="3"/>
  <c r="G32" i="3"/>
  <c r="G31" i="3"/>
  <c r="E37" i="3"/>
  <c r="E36" i="3"/>
  <c r="E35" i="3"/>
  <c r="E34" i="3"/>
  <c r="E33" i="3"/>
  <c r="E32" i="3"/>
  <c r="E31" i="3"/>
  <c r="B42" i="3"/>
  <c r="B41" i="3"/>
  <c r="B40" i="3"/>
  <c r="B39" i="3"/>
  <c r="B37" i="3"/>
  <c r="B36" i="3"/>
  <c r="B35" i="3"/>
  <c r="B34" i="3"/>
  <c r="B33" i="3"/>
  <c r="B32" i="3"/>
  <c r="B31" i="3"/>
  <c r="C37" i="3"/>
  <c r="C36" i="3"/>
  <c r="C35" i="3"/>
  <c r="C34" i="3"/>
  <c r="C33" i="3"/>
  <c r="C32" i="3"/>
  <c r="C31" i="3"/>
  <c r="O11" i="3"/>
  <c r="M11" i="3"/>
  <c r="O13" i="3"/>
  <c r="P13" i="3" s="1"/>
  <c r="M13" i="3"/>
  <c r="N13" i="3" s="1"/>
  <c r="K13" i="3"/>
  <c r="L13" i="3" s="1"/>
  <c r="I13" i="3"/>
  <c r="J13" i="3" s="1"/>
  <c r="G13" i="3"/>
  <c r="H13" i="3" s="1"/>
  <c r="E13" i="3"/>
  <c r="F13" i="3" s="1"/>
  <c r="C13" i="3"/>
  <c r="D13" i="3" s="1"/>
  <c r="C30" i="2"/>
  <c r="K11" i="3"/>
  <c r="I11" i="3"/>
  <c r="G11" i="3"/>
  <c r="E11" i="3"/>
  <c r="C11" i="3"/>
  <c r="I3" i="3"/>
  <c r="O16" i="3"/>
  <c r="P16" i="3" s="1"/>
  <c r="M16" i="3"/>
  <c r="N16" i="3" s="1"/>
  <c r="K16" i="3"/>
  <c r="L16" i="3" s="1"/>
  <c r="I16" i="3"/>
  <c r="J16" i="3" s="1"/>
  <c r="G16" i="3"/>
  <c r="H16" i="3" s="1"/>
  <c r="E16" i="3"/>
  <c r="F16" i="3" s="1"/>
  <c r="C16" i="3"/>
  <c r="Q16" i="2"/>
  <c r="P16" i="2"/>
  <c r="O9" i="3"/>
  <c r="M9" i="3"/>
  <c r="K9" i="3"/>
  <c r="I9" i="3"/>
  <c r="G9" i="3"/>
  <c r="E9" i="3"/>
  <c r="C9" i="3"/>
  <c r="C29" i="2"/>
  <c r="N7" i="2"/>
  <c r="Q7" i="2" s="1"/>
  <c r="N8" i="2"/>
  <c r="Q8" i="2" s="1"/>
  <c r="E26" i="17" l="1"/>
  <c r="C18" i="17"/>
  <c r="G26" i="17" l="1"/>
  <c r="E18" i="17"/>
  <c r="C22" i="3"/>
  <c r="D22" i="3" s="1"/>
  <c r="C15" i="3"/>
  <c r="O22" i="3"/>
  <c r="P22" i="3" s="1"/>
  <c r="M22" i="3"/>
  <c r="N22" i="3" s="1"/>
  <c r="K22" i="3"/>
  <c r="L22" i="3" s="1"/>
  <c r="I22" i="3"/>
  <c r="J22" i="3" s="1"/>
  <c r="G22" i="3"/>
  <c r="H22" i="3" s="1"/>
  <c r="E22" i="3"/>
  <c r="O15" i="3"/>
  <c r="M15" i="3"/>
  <c r="K15" i="3"/>
  <c r="I15" i="3"/>
  <c r="G15" i="3"/>
  <c r="E15" i="3"/>
  <c r="B22" i="3"/>
  <c r="C3" i="3"/>
  <c r="P10" i="2"/>
  <c r="N14" i="2"/>
  <c r="Q14" i="2" s="1"/>
  <c r="N13" i="2"/>
  <c r="Q13" i="2" s="1"/>
  <c r="N12" i="2"/>
  <c r="Q12" i="2" s="1"/>
  <c r="N11" i="2"/>
  <c r="Q11" i="2" s="1"/>
  <c r="L1" i="2"/>
  <c r="N3" i="2"/>
  <c r="Q3" i="2" s="1"/>
  <c r="N4" i="2"/>
  <c r="Q4" i="2" s="1"/>
  <c r="N5" i="2"/>
  <c r="Q5" i="2" s="1"/>
  <c r="N6" i="2"/>
  <c r="Q6" i="2" s="1"/>
  <c r="N2" i="2"/>
  <c r="L6" i="2"/>
  <c r="L5" i="2"/>
  <c r="L4" i="2"/>
  <c r="L3" i="2"/>
  <c r="L2" i="2"/>
  <c r="P1" i="2"/>
  <c r="I26" i="17" l="1"/>
  <c r="G18" i="17"/>
  <c r="M3" i="17"/>
  <c r="M3" i="3"/>
  <c r="Q2" i="2"/>
  <c r="F22" i="3"/>
  <c r="K26" i="17" l="1"/>
  <c r="I18" i="17"/>
  <c r="M26" i="17" l="1"/>
  <c r="K18" i="17"/>
  <c r="O26" i="17" l="1"/>
  <c r="M18" i="17"/>
  <c r="N14" i="3"/>
  <c r="L14" i="3"/>
  <c r="J14" i="3"/>
  <c r="H14" i="3"/>
  <c r="F14" i="3"/>
  <c r="D14" i="3"/>
  <c r="P14" i="3"/>
  <c r="O18" i="17" l="1"/>
  <c r="C26" i="3"/>
  <c r="A18" i="2"/>
  <c r="B26" i="3"/>
  <c r="B17" i="3"/>
  <c r="B18" i="3"/>
  <c r="C18" i="3" l="1"/>
  <c r="E26" i="3"/>
  <c r="P15" i="3"/>
  <c r="N11" i="3"/>
  <c r="F15" i="3"/>
  <c r="P8" i="3"/>
  <c r="F12" i="3"/>
  <c r="J12" i="3"/>
  <c r="N10" i="3"/>
  <c r="P12" i="3"/>
  <c r="L15" i="3"/>
  <c r="J11" i="3"/>
  <c r="D15" i="3"/>
  <c r="N9" i="3"/>
  <c r="D11" i="3"/>
  <c r="N12" i="3"/>
  <c r="P9" i="3"/>
  <c r="P11" i="3"/>
  <c r="D16" i="3"/>
  <c r="N8" i="3"/>
  <c r="D12" i="3"/>
  <c r="L12" i="3"/>
  <c r="H15" i="3"/>
  <c r="L10" i="3"/>
  <c r="N15" i="3"/>
  <c r="L11" i="3"/>
  <c r="L9" i="3"/>
  <c r="F11" i="3"/>
  <c r="H12" i="3"/>
  <c r="P10" i="3"/>
  <c r="L8" i="3"/>
  <c r="J15" i="3"/>
  <c r="H11" i="3"/>
  <c r="G26" i="3" l="1"/>
  <c r="E18" i="3"/>
  <c r="B29" i="3"/>
  <c r="B28" i="3"/>
  <c r="J10" i="3"/>
  <c r="H10" i="3"/>
  <c r="F10" i="3"/>
  <c r="D10" i="3"/>
  <c r="J9" i="3"/>
  <c r="H9" i="3"/>
  <c r="F9" i="3"/>
  <c r="D9" i="3"/>
  <c r="J8" i="3"/>
  <c r="H8" i="3"/>
  <c r="F8" i="3"/>
  <c r="D8" i="3"/>
  <c r="O7" i="3"/>
  <c r="O30" i="3" s="1"/>
  <c r="M7" i="3"/>
  <c r="M30" i="3" s="1"/>
  <c r="K7" i="3"/>
  <c r="K30" i="3" s="1"/>
  <c r="I7" i="3"/>
  <c r="I30" i="3" s="1"/>
  <c r="G7" i="3"/>
  <c r="G30" i="3" s="1"/>
  <c r="E7" i="3"/>
  <c r="E30" i="3" s="1"/>
  <c r="C7" i="3"/>
  <c r="C30" i="3" s="1"/>
  <c r="C25" i="2"/>
  <c r="D25" i="2" s="1"/>
  <c r="C24" i="2"/>
  <c r="D24" i="2" s="1"/>
  <c r="C23" i="2"/>
  <c r="D23" i="2" s="1"/>
  <c r="G18" i="3" l="1"/>
  <c r="I26" i="3"/>
  <c r="C26" i="2"/>
  <c r="K26" i="3" l="1"/>
  <c r="I18" i="3"/>
  <c r="D26" i="2"/>
  <c r="P19" i="17" l="1"/>
  <c r="N19" i="17"/>
  <c r="L19" i="17"/>
  <c r="J19" i="17"/>
  <c r="H19" i="17"/>
  <c r="F19" i="17"/>
  <c r="D19" i="17"/>
  <c r="P19" i="3"/>
  <c r="K18" i="3"/>
  <c r="M26" i="3"/>
  <c r="L19" i="3"/>
  <c r="J19" i="3"/>
  <c r="H19" i="3"/>
  <c r="F19" i="3"/>
  <c r="D19" i="3"/>
  <c r="N19" i="3"/>
  <c r="O26" i="3" l="1"/>
  <c r="M18" i="3"/>
  <c r="O18" i="3" l="1"/>
  <c r="C28" i="17" l="1"/>
  <c r="E28" i="17"/>
  <c r="G28" i="17" s="1"/>
  <c r="I28" i="17" s="1"/>
  <c r="K28" i="17" s="1"/>
  <c r="M28" i="17" s="1"/>
  <c r="O28" i="17" s="1"/>
  <c r="C28" i="3"/>
  <c r="E28" i="3" s="1"/>
  <c r="G28" i="3" s="1"/>
  <c r="I28" i="3" s="1"/>
  <c r="K28" i="3" s="1"/>
  <c r="M28" i="3" s="1"/>
  <c r="O28" i="3" s="1"/>
  <c r="I35" i="2"/>
  <c r="C29" i="17"/>
  <c r="E29" i="17"/>
  <c r="G29" i="17" s="1"/>
  <c r="I29" i="17" s="1"/>
  <c r="K29" i="17" s="1"/>
  <c r="M29" i="17" s="1"/>
  <c r="O29" i="17" s="1"/>
  <c r="C4" i="17" s="1"/>
  <c r="C29" i="3"/>
  <c r="E29" i="3"/>
  <c r="G29" i="3" s="1"/>
  <c r="I29" i="3" s="1"/>
  <c r="K29" i="3" s="1"/>
  <c r="M29" i="3" s="1"/>
  <c r="O29" i="3" s="1"/>
  <c r="C4" i="3" s="1"/>
  <c r="L17" i="17" l="1"/>
  <c r="L24" i="17" s="1"/>
  <c r="F18" i="17"/>
  <c r="H18" i="17"/>
  <c r="P26" i="17"/>
  <c r="H17" i="3"/>
  <c r="H24" i="3"/>
  <c r="L26" i="17"/>
  <c r="D26" i="17"/>
  <c r="F26" i="17"/>
  <c r="F26" i="3"/>
  <c r="H26" i="3"/>
  <c r="L18" i="3"/>
  <c r="P18" i="3"/>
  <c r="L18" i="17"/>
  <c r="N18" i="17"/>
  <c r="N17" i="3"/>
  <c r="N24" i="3" s="1"/>
  <c r="F17" i="17"/>
  <c r="F24" i="17" s="1"/>
  <c r="D17" i="17"/>
  <c r="P17" i="3"/>
  <c r="P24" i="3" s="1"/>
  <c r="P17" i="17"/>
  <c r="P24" i="17" s="1"/>
  <c r="D18" i="17"/>
  <c r="F17" i="3"/>
  <c r="N26" i="17"/>
  <c r="P18" i="17"/>
  <c r="D26" i="3"/>
  <c r="L17" i="3"/>
  <c r="L24" i="3" s="1"/>
  <c r="N18" i="3"/>
  <c r="H18" i="3"/>
  <c r="D24" i="17"/>
  <c r="C27" i="17" s="1"/>
  <c r="H17" i="17"/>
  <c r="H24" i="17"/>
  <c r="L26" i="3"/>
  <c r="J17" i="17"/>
  <c r="J24" i="17"/>
  <c r="I24" i="17"/>
  <c r="I25" i="17" s="1"/>
  <c r="J25" i="17"/>
  <c r="N17" i="17"/>
  <c r="N24" i="17"/>
  <c r="D17" i="3"/>
  <c r="J18" i="17"/>
  <c r="F18" i="3"/>
  <c r="D24" i="3"/>
  <c r="J18" i="3"/>
  <c r="F24" i="3"/>
  <c r="H25" i="3"/>
  <c r="C27" i="3"/>
  <c r="E27" i="3" s="1"/>
  <c r="J17" i="3"/>
  <c r="J24" i="3"/>
  <c r="J25" i="3" s="1"/>
  <c r="H26" i="17"/>
  <c r="D18" i="3"/>
  <c r="N26" i="3"/>
  <c r="J26" i="17"/>
  <c r="J26" i="3"/>
  <c r="P26" i="3"/>
  <c r="I24" i="3"/>
  <c r="I25" i="3" s="1"/>
  <c r="M24" i="17" l="1"/>
  <c r="M25" i="17" s="1"/>
  <c r="N25" i="17"/>
  <c r="P25" i="17"/>
  <c r="O24" i="17"/>
  <c r="O25" i="17" s="1"/>
  <c r="H25" i="17"/>
  <c r="G24" i="17"/>
  <c r="G25" i="17" s="1"/>
  <c r="K24" i="3"/>
  <c r="K25" i="3" s="1"/>
  <c r="L25" i="3"/>
  <c r="D27" i="17"/>
  <c r="C20" i="17"/>
  <c r="D20" i="17" s="1"/>
  <c r="K24" i="17"/>
  <c r="K25" i="17" s="1"/>
  <c r="L25" i="17"/>
  <c r="G27" i="3"/>
  <c r="G24" i="3"/>
  <c r="G25" i="3" s="1"/>
  <c r="N25" i="3"/>
  <c r="M24" i="3"/>
  <c r="M25" i="3" s="1"/>
  <c r="F25" i="17"/>
  <c r="E24" i="17"/>
  <c r="E25" i="17" s="1"/>
  <c r="E27" i="17"/>
  <c r="O24" i="3"/>
  <c r="O25" i="3" s="1"/>
  <c r="P25" i="3"/>
  <c r="D25" i="17"/>
  <c r="C24" i="17"/>
  <c r="C25" i="17" s="1"/>
  <c r="C24" i="3"/>
  <c r="C25" i="3" s="1"/>
  <c r="D25" i="3"/>
  <c r="F25" i="3"/>
  <c r="E24" i="3"/>
  <c r="E25" i="3" s="1"/>
  <c r="C20" i="3"/>
  <c r="D20" i="3" s="1"/>
  <c r="D27" i="3"/>
  <c r="F27" i="3"/>
  <c r="E20" i="3"/>
  <c r="F20" i="3" s="1"/>
  <c r="I27" i="3" l="1"/>
  <c r="H27" i="3"/>
  <c r="G20" i="3"/>
  <c r="H20" i="3" s="1"/>
  <c r="G27" i="17"/>
  <c r="F27" i="17"/>
  <c r="E20" i="17"/>
  <c r="F20" i="17" s="1"/>
  <c r="K27" i="3" l="1"/>
  <c r="I20" i="3"/>
  <c r="J20" i="3" s="1"/>
  <c r="J27" i="3"/>
  <c r="H27" i="17"/>
  <c r="G20" i="17"/>
  <c r="H20" i="17" s="1"/>
  <c r="I27" i="17"/>
  <c r="L27" i="3" l="1"/>
  <c r="K20" i="3"/>
  <c r="L20" i="3" s="1"/>
  <c r="M27" i="3"/>
  <c r="K27" i="17"/>
  <c r="J27" i="17"/>
  <c r="I20" i="17"/>
  <c r="J20" i="17" s="1"/>
  <c r="M20" i="3" l="1"/>
  <c r="N20" i="3" s="1"/>
  <c r="N27" i="3"/>
  <c r="O27" i="3"/>
  <c r="K20" i="17"/>
  <c r="L20" i="17" s="1"/>
  <c r="L27" i="17"/>
  <c r="M27" i="17"/>
  <c r="O20" i="3" l="1"/>
  <c r="P20" i="3" s="1"/>
  <c r="P27" i="3"/>
  <c r="O27" i="17"/>
  <c r="M20" i="17"/>
  <c r="N20" i="17" s="1"/>
  <c r="N27" i="17"/>
  <c r="P27" i="17" l="1"/>
  <c r="O20" i="17"/>
  <c r="P20" i="17" s="1"/>
</calcChain>
</file>

<file path=xl/sharedStrings.xml><?xml version="1.0" encoding="utf-8"?>
<sst xmlns="http://schemas.openxmlformats.org/spreadsheetml/2006/main" count="435" uniqueCount="239">
  <si>
    <t>翡翠</t>
  </si>
  <si>
    <t>合计</t>
  </si>
  <si>
    <t>抽奖道具</t>
  </si>
  <si>
    <t>普通兑换道具</t>
  </si>
  <si>
    <t>数量</t>
  </si>
  <si>
    <t>概率</t>
  </si>
  <si>
    <t>积分</t>
  </si>
  <si>
    <t>高级兑换道具</t>
  </si>
  <si>
    <t>档位</t>
  </si>
  <si>
    <t>累积积分</t>
  </si>
  <si>
    <t>累积随机箱</t>
  </si>
  <si>
    <t>第1档</t>
  </si>
  <si>
    <t>第2档</t>
  </si>
  <si>
    <t>第3档</t>
  </si>
  <si>
    <t>第4档</t>
  </si>
  <si>
    <t>第5档</t>
  </si>
  <si>
    <t>积分规则</t>
  </si>
  <si>
    <t>钻石购买</t>
  </si>
  <si>
    <t>钻石</t>
  </si>
  <si>
    <t>限购=</t>
  </si>
  <si>
    <t>个/天</t>
  </si>
  <si>
    <t>随机箱</t>
  </si>
  <si>
    <t>平均(个)</t>
  </si>
  <si>
    <t>积分（分）</t>
  </si>
  <si>
    <t>第1天</t>
  </si>
  <si>
    <t>第2天</t>
  </si>
  <si>
    <t>第3天</t>
  </si>
  <si>
    <t>第4天</t>
  </si>
  <si>
    <t>第5天</t>
  </si>
  <si>
    <t>第6天</t>
  </si>
  <si>
    <t>第7天</t>
  </si>
  <si>
    <t>每日任务</t>
  </si>
  <si>
    <t>使用随机箱</t>
  </si>
  <si>
    <t>剩余随机箱</t>
  </si>
  <si>
    <t>风险提示</t>
    <phoneticPr fontId="7" type="noConversion"/>
  </si>
  <si>
    <t>免费基金</t>
    <phoneticPr fontId="7" type="noConversion"/>
  </si>
  <si>
    <t>活动签到</t>
    <phoneticPr fontId="7" type="noConversion"/>
  </si>
  <si>
    <t>氪金礼包</t>
    <phoneticPr fontId="7" type="noConversion"/>
  </si>
  <si>
    <t>氪金基金</t>
    <phoneticPr fontId="7" type="noConversion"/>
  </si>
  <si>
    <t>首次登录</t>
    <phoneticPr fontId="7" type="noConversion"/>
  </si>
  <si>
    <t>？</t>
    <phoneticPr fontId="7" type="noConversion"/>
  </si>
  <si>
    <t>总随机箱</t>
    <phoneticPr fontId="7" type="noConversion"/>
  </si>
  <si>
    <t>广告观看</t>
    <phoneticPr fontId="7" type="noConversion"/>
  </si>
  <si>
    <t>限定烙印自选箱×1</t>
  </si>
  <si>
    <t>S史诗传承自选箱×1</t>
  </si>
  <si>
    <t>连携祝福卷轴×1</t>
  </si>
  <si>
    <t>置换符×1</t>
  </si>
  <si>
    <t>天外陨铁×10</t>
  </si>
  <si>
    <t>随机英杰箱×1</t>
  </si>
  <si>
    <t>史诗传承自选箱×1</t>
  </si>
  <si>
    <t>传承书自选箱×1</t>
  </si>
  <si>
    <t>祈愿函×5</t>
  </si>
  <si>
    <t>宝石钥匙×5</t>
  </si>
  <si>
    <t>英杰契约×1</t>
  </si>
  <si>
    <t>消耗内容</t>
  </si>
  <si>
    <t>获得内容</t>
  </si>
  <si>
    <t>限购次数</t>
  </si>
  <si>
    <t>高级兑换</t>
    <phoneticPr fontId="7" type="noConversion"/>
  </si>
  <si>
    <t>普通兑换</t>
    <phoneticPr fontId="7" type="noConversion"/>
  </si>
  <si>
    <t>主线第150章生存1天；开服179天</t>
  </si>
  <si>
    <t>限制条件</t>
    <phoneticPr fontId="7" type="noConversion"/>
  </si>
  <si>
    <t>公式</t>
    <phoneticPr fontId="7" type="noConversion"/>
  </si>
  <si>
    <t>结果</t>
    <phoneticPr fontId="7" type="noConversion"/>
  </si>
  <si>
    <t>项目</t>
    <phoneticPr fontId="7" type="noConversion"/>
  </si>
  <si>
    <t>抽奖期望统计（各项目/1抽奖币）</t>
    <phoneticPr fontId="7" type="noConversion"/>
  </si>
  <si>
    <t>积分兑换</t>
    <phoneticPr fontId="7" type="noConversion"/>
  </si>
  <si>
    <t>觉醒核心自选箱×1</t>
  </si>
  <si>
    <t>限定藏品自选箱×1</t>
  </si>
  <si>
    <t>幸运银币×3</t>
  </si>
  <si>
    <t>天外陨铁×100</t>
  </si>
  <si>
    <t>不变石×1</t>
  </si>
  <si>
    <t>金蹄铁×50</t>
  </si>
  <si>
    <t>神威锤×50</t>
  </si>
  <si>
    <t>价格</t>
    <phoneticPr fontId="7" type="noConversion"/>
  </si>
  <si>
    <t>翡翠</t>
    <phoneticPr fontId="7" type="noConversion"/>
  </si>
  <si>
    <t>每日限购</t>
    <phoneticPr fontId="7" type="noConversion"/>
  </si>
  <si>
    <t>翡翠性价比</t>
    <phoneticPr fontId="7" type="noConversion"/>
  </si>
  <si>
    <t>活动天数</t>
    <phoneticPr fontId="7" type="noConversion"/>
  </si>
  <si>
    <t>全部统计</t>
    <phoneticPr fontId="7" type="noConversion"/>
  </si>
  <si>
    <t>积分来源</t>
    <phoneticPr fontId="7" type="noConversion"/>
  </si>
  <si>
    <t>购买次数</t>
    <phoneticPr fontId="7" type="noConversion"/>
  </si>
  <si>
    <t>礼包选择</t>
    <phoneticPr fontId="7" type="noConversion"/>
  </si>
  <si>
    <t>当前档位积分</t>
    <phoneticPr fontId="7" type="noConversion"/>
  </si>
  <si>
    <t>溢出/缺少积分</t>
    <phoneticPr fontId="7" type="noConversion"/>
  </si>
  <si>
    <t>备注</t>
    <phoneticPr fontId="7" type="noConversion"/>
  </si>
  <si>
    <t>价格(元)</t>
    <phoneticPr fontId="7" type="noConversion"/>
  </si>
  <si>
    <t>钻石购买</t>
    <phoneticPr fontId="7" type="noConversion"/>
  </si>
  <si>
    <t>免费基金</t>
    <phoneticPr fontId="7" type="noConversion"/>
  </si>
  <si>
    <t>氪金基金</t>
    <phoneticPr fontId="7" type="noConversion"/>
  </si>
  <si>
    <t>基金</t>
    <phoneticPr fontId="7" type="noConversion"/>
  </si>
  <si>
    <t>活动限购</t>
    <phoneticPr fontId="7" type="noConversion"/>
  </si>
  <si>
    <t>付费</t>
    <phoneticPr fontId="7" type="noConversion"/>
  </si>
  <si>
    <t>免费</t>
    <phoneticPr fontId="7" type="noConversion"/>
  </si>
  <si>
    <t>可兑换道具</t>
    <phoneticPr fontId="7" type="noConversion"/>
  </si>
  <si>
    <t>特殊日</t>
    <phoneticPr fontId="7" type="noConversion"/>
  </si>
  <si>
    <t>每日操作①</t>
    <phoneticPr fontId="7" type="noConversion"/>
  </si>
  <si>
    <t>每日操作②</t>
    <phoneticPr fontId="7" type="noConversion"/>
  </si>
  <si>
    <t>每日操作③</t>
    <phoneticPr fontId="7" type="noConversion"/>
  </si>
  <si>
    <t>每日操作④</t>
    <phoneticPr fontId="7" type="noConversion"/>
  </si>
  <si>
    <t>每日操作⑤</t>
    <phoneticPr fontId="7" type="noConversion"/>
  </si>
  <si>
    <t>收尾日</t>
    <phoneticPr fontId="7" type="noConversion"/>
  </si>
  <si>
    <t>标题</t>
    <phoneticPr fontId="7" type="noConversion"/>
  </si>
  <si>
    <t>需要自己改动的位置</t>
    <phoneticPr fontId="7" type="noConversion"/>
  </si>
  <si>
    <t>可兑换道具</t>
    <phoneticPr fontId="7" type="noConversion"/>
  </si>
  <si>
    <t>广告</t>
    <phoneticPr fontId="7" type="noConversion"/>
  </si>
  <si>
    <t>任务</t>
    <phoneticPr fontId="7" type="noConversion"/>
  </si>
  <si>
    <t>每日骰子使用数量</t>
    <phoneticPr fontId="7" type="noConversion"/>
  </si>
  <si>
    <t>每日钻石购买数量</t>
    <phoneticPr fontId="7" type="noConversion"/>
  </si>
  <si>
    <t>每日随机箱使用数量</t>
    <phoneticPr fontId="7" type="noConversion"/>
  </si>
  <si>
    <t>商店兑换数量</t>
    <phoneticPr fontId="7" type="noConversion"/>
  </si>
  <si>
    <t>特殊日的名字</t>
    <phoneticPr fontId="7" type="noConversion"/>
  </si>
  <si>
    <t>每日操作</t>
    <phoneticPr fontId="7" type="noConversion"/>
  </si>
  <si>
    <t>风险和提示</t>
    <phoneticPr fontId="7" type="noConversion"/>
  </si>
  <si>
    <t>氪金项目的购买次数</t>
    <phoneticPr fontId="7" type="noConversion"/>
  </si>
  <si>
    <t>自我检查</t>
    <phoneticPr fontId="7" type="noConversion"/>
  </si>
  <si>
    <t>礼包选择</t>
    <phoneticPr fontId="7" type="noConversion"/>
  </si>
  <si>
    <t>随机传说宝石箱×1</t>
  </si>
  <si>
    <t>史诗坐骑核心自选箱×1</t>
  </si>
  <si>
    <t>稀有坐骑核心自选箱×1</t>
  </si>
  <si>
    <t>优秀坐骑核心自选箱×1</t>
  </si>
  <si>
    <t>随机烙印箱×1</t>
  </si>
  <si>
    <t>装备图纸×20</t>
  </si>
  <si>
    <t>宠物蛋×100</t>
  </si>
  <si>
    <t>数量</t>
    <phoneticPr fontId="15" type="noConversion"/>
  </si>
  <si>
    <t>概率</t>
    <phoneticPr fontId="15" type="noConversion"/>
  </si>
  <si>
    <t>固定获得</t>
    <phoneticPr fontId="7" type="noConversion"/>
  </si>
  <si>
    <t>蜜橙棒棒糖×1100</t>
  </si>
  <si>
    <t>蜜橙棒棒糖×550</t>
  </si>
  <si>
    <t>两载甜蜜×1</t>
  </si>
  <si>
    <t>不朽藏品自选箱×1</t>
  </si>
  <si>
    <t>神兵魔方×60</t>
  </si>
  <si>
    <t>高级炼金试剂×400</t>
  </si>
  <si>
    <t>不变石×200</t>
  </si>
  <si>
    <t>极化晶石×200</t>
  </si>
  <si>
    <t>蜜橙棒棒糖×800</t>
  </si>
  <si>
    <t>蜜橙棒棒糖×100</t>
  </si>
  <si>
    <t>神兵魔方×5</t>
  </si>
  <si>
    <t>蜜橙棒棒糖×15</t>
  </si>
  <si>
    <t>高级炼金试剂×5</t>
  </si>
  <si>
    <t>蜜橙棒棒糖×150</t>
  </si>
  <si>
    <t>橙秘宝自选箱×1</t>
  </si>
  <si>
    <t>蜜橙棒棒糖×20</t>
  </si>
  <si>
    <t>蜜橙棒棒糖×500</t>
  </si>
  <si>
    <t>蜜橙棒棒糖×270</t>
  </si>
  <si>
    <t>S武器自选箱×1</t>
  </si>
  <si>
    <t>S装备自选箱×1</t>
  </si>
  <si>
    <t>蜜橙棒棒糖×250</t>
  </si>
  <si>
    <t>蜜橙棒棒糖×4</t>
  </si>
  <si>
    <t>紫晶棒棒糖×2000</t>
  </si>
  <si>
    <t>鬼屋×1</t>
  </si>
  <si>
    <t>紫晶棒棒糖×5000</t>
  </si>
  <si>
    <t>紫晶棒棒糖×3000</t>
  </si>
  <si>
    <t>紫晶棒棒糖×1800</t>
  </si>
  <si>
    <t>紫晶棒棒糖×1300</t>
  </si>
  <si>
    <t>紫晶棒棒糖×1200</t>
  </si>
  <si>
    <t>紫晶棒棒糖×900</t>
  </si>
  <si>
    <t>紫晶棒棒糖×160</t>
  </si>
  <si>
    <t>蜜橙棒棒糖×10</t>
  </si>
  <si>
    <t>紫晶棒棒糖×700</t>
  </si>
  <si>
    <t>紫晶棒棒糖×480</t>
  </si>
  <si>
    <t>紫晶棒棒糖×400</t>
  </si>
  <si>
    <t>紫晶棒棒糖×360</t>
  </si>
  <si>
    <t>紫晶棒棒糖×240</t>
  </si>
  <si>
    <t>紫晶棒棒糖×120</t>
  </si>
  <si>
    <t>传说钥匙×5</t>
  </si>
  <si>
    <t>秘宝钥匙×5</t>
  </si>
  <si>
    <t>紫晶棒棒糖×100</t>
  </si>
  <si>
    <t>紫晶棒棒糖×90</t>
  </si>
  <si>
    <t>紫晶棒棒糖×60</t>
  </si>
  <si>
    <t>紫晶棒棒糖×50</t>
  </si>
  <si>
    <t>紫晶棒棒糖</t>
    <phoneticPr fontId="7" type="noConversion"/>
  </si>
  <si>
    <t>蜜橙棒棒糖</t>
    <phoneticPr fontId="7" type="noConversion"/>
  </si>
  <si>
    <t>糖果币</t>
    <phoneticPr fontId="7" type="noConversion"/>
  </si>
  <si>
    <t>普通模式抽奖概率（抽1次获得5点幸运值）</t>
    <phoneticPr fontId="7" type="noConversion"/>
  </si>
  <si>
    <t>期望值</t>
    <phoneticPr fontId="7" type="noConversion"/>
  </si>
  <si>
    <t>宝石</t>
    <phoneticPr fontId="7" type="noConversion"/>
  </si>
  <si>
    <t>幸运值</t>
    <phoneticPr fontId="7" type="noConversion"/>
  </si>
  <si>
    <t>(5+0.025*15)/(1-0.25）</t>
    <phoneticPr fontId="7" type="noConversion"/>
  </si>
  <si>
    <t>幸运模式抽奖次数</t>
    <phoneticPr fontId="7" type="noConversion"/>
  </si>
  <si>
    <t>7.16667/(20-0.05*15)</t>
    <phoneticPr fontId="7" type="noConversion"/>
  </si>
  <si>
    <t>0.025/(1-0.25)+0.05*0.372</t>
    <phoneticPr fontId="7" type="noConversion"/>
  </si>
  <si>
    <t>(5+6+5)/0.75+20*0.372</t>
    <phoneticPr fontId="7" type="noConversion"/>
  </si>
  <si>
    <t>0.2/0.75+(0.375+0.8+0.5)*0.372</t>
    <phoneticPr fontId="7" type="noConversion"/>
  </si>
  <si>
    <t>抽奖积分</t>
    <phoneticPr fontId="7" type="noConversion"/>
  </si>
  <si>
    <t>0.25*25/0.75+0.890*1</t>
    <phoneticPr fontId="7" type="noConversion"/>
  </si>
  <si>
    <t>幸运模式抽奖概率(20幸运值抽1次)</t>
    <phoneticPr fontId="7" type="noConversion"/>
  </si>
  <si>
    <t>超越自选箱×1</t>
    <phoneticPr fontId="7" type="noConversion"/>
  </si>
  <si>
    <t>周年好礼</t>
  </si>
  <si>
    <t>两载甜蜜(碎片)</t>
    <phoneticPr fontId="7" type="noConversion"/>
  </si>
  <si>
    <t>大卫雕像×1</t>
    <phoneticPr fontId="7" type="noConversion"/>
  </si>
  <si>
    <t>李纲锏×1</t>
    <phoneticPr fontId="7" type="noConversion"/>
  </si>
  <si>
    <t>周年庆扭蛋机｜9.8万钻（超越或秘宝）攻略</t>
    <phoneticPr fontId="7" type="noConversion"/>
  </si>
  <si>
    <t>至尊自选箱×1</t>
    <phoneticPr fontId="7" type="noConversion"/>
  </si>
  <si>
    <t>觉醒核心自选箱×1</t>
    <phoneticPr fontId="7" type="noConversion"/>
  </si>
  <si>
    <t>首次登录3币+任务26币</t>
    <phoneticPr fontId="7" type="noConversion"/>
  </si>
  <si>
    <t>钻石购买70币+活动签到5币</t>
    <phoneticPr fontId="7" type="noConversion"/>
  </si>
  <si>
    <t>今日不用币</t>
    <phoneticPr fontId="7" type="noConversion"/>
  </si>
  <si>
    <t>任务26币</t>
    <phoneticPr fontId="7" type="noConversion"/>
  </si>
  <si>
    <t>今日用约52币冲第2档</t>
    <phoneticPr fontId="7" type="noConversion"/>
  </si>
  <si>
    <t>今日用掉全部币冲第4档</t>
    <phoneticPr fontId="7" type="noConversion"/>
  </si>
  <si>
    <t>蜜橙棒棒糖×1100</t>
    <phoneticPr fontId="7" type="noConversion"/>
  </si>
  <si>
    <t>商店兑换30蜜橙棒棒糖</t>
    <phoneticPr fontId="7" type="noConversion"/>
  </si>
  <si>
    <t>赠送全部周年好礼获得幸运值继续抽取</t>
    <phoneticPr fontId="7" type="noConversion"/>
  </si>
  <si>
    <t>这次活动签到可得糖果币，加上最后一天溢出600分，冲第4档基本不会翻车</t>
    <phoneticPr fontId="7" type="noConversion"/>
  </si>
  <si>
    <t>卡皮筹码×5</t>
    <phoneticPr fontId="7" type="noConversion"/>
  </si>
  <si>
    <t>精力×10</t>
    <phoneticPr fontId="7" type="noConversion"/>
  </si>
  <si>
    <t>超越自选箱×1 或 大卫雕像×1 或 李纲锏×1 +鬼屋×1+ 至尊自选箱×1+觉醒核心自选箱×2+卡皮筹码×20+精力×100</t>
    <phoneticPr fontId="7" type="noConversion"/>
  </si>
  <si>
    <t>礼包项目</t>
  </si>
  <si>
    <t>金额（元）</t>
  </si>
  <si>
    <t>钻石（个）</t>
  </si>
  <si>
    <t>性价比(门票/翡翠)</t>
  </si>
  <si>
    <t>庆典幸运券（张）</t>
    <phoneticPr fontId="7" type="noConversion"/>
  </si>
  <si>
    <t>2周年扭蛋机通行证免费奖励</t>
    <phoneticPr fontId="7" type="noConversion"/>
  </si>
  <si>
    <t>2周年扭蛋机通行证氪金奖励</t>
    <phoneticPr fontId="7" type="noConversion"/>
  </si>
  <si>
    <t>卡皮周年庆特惠礼包(弹窗礼包)</t>
    <phoneticPr fontId="7" type="noConversion"/>
  </si>
  <si>
    <t>免费庆典幸运券礼包（广告）</t>
    <phoneticPr fontId="7" type="noConversion"/>
  </si>
  <si>
    <t>宝石庆典幸运券礼包（宝石）</t>
    <phoneticPr fontId="7" type="noConversion"/>
  </si>
  <si>
    <t>庆典幸运券礼包Ⅰ（买2次）</t>
    <phoneticPr fontId="7" type="noConversion"/>
  </si>
  <si>
    <t>庆典幸运券礼包Ⅱ（买2次）</t>
    <phoneticPr fontId="7" type="noConversion"/>
  </si>
  <si>
    <t>卡皮周年庆转盘顶部特惠礼包1</t>
    <phoneticPr fontId="7" type="noConversion"/>
  </si>
  <si>
    <t>卡皮周年庆转盘顶部特惠礼包2</t>
    <phoneticPr fontId="7" type="noConversion"/>
  </si>
  <si>
    <t>超越自选箱内有始祖之怒、深渊吞噬者、灰烬始祖龙、冰霜巨龙（都是本体）</t>
    <phoneticPr fontId="7" type="noConversion"/>
  </si>
  <si>
    <t>本次可兑换道具只有卡皮筹码和精力需要180天+150关新区限制，其他兑换无限制</t>
    <phoneticPr fontId="7" type="noConversion"/>
  </si>
  <si>
    <t>钻石购买70币</t>
    <phoneticPr fontId="7" type="noConversion"/>
  </si>
  <si>
    <t>超越自选箱×1 + 大卫雕像×1 或 李纲锏×1 +鬼屋×1+ 至尊自选箱×1+觉醒核心自选箱×2+卡皮筹码×20+精力×100</t>
    <phoneticPr fontId="7" type="noConversion"/>
  </si>
  <si>
    <t>任务26币+钻石购买70币</t>
    <phoneticPr fontId="7" type="noConversion"/>
  </si>
  <si>
    <t>用完所有币、礼物、随机箱</t>
    <phoneticPr fontId="7" type="noConversion"/>
  </si>
  <si>
    <t>氪金棒棒糖礼包Ⅰ、Ⅳ得605蜜橙棒棒糖</t>
    <phoneticPr fontId="7" type="noConversion"/>
  </si>
  <si>
    <t>见下方</t>
    <phoneticPr fontId="7" type="noConversion"/>
  </si>
  <si>
    <t>商店可兑换</t>
    <phoneticPr fontId="7" type="noConversion"/>
  </si>
  <si>
    <t>积分</t>
    <phoneticPr fontId="7" type="noConversion"/>
  </si>
  <si>
    <t>抽奖综合积分</t>
    <phoneticPr fontId="7" type="noConversion"/>
  </si>
  <si>
    <t>抽奖道具期望统计（各项目/1抽奖币）</t>
    <phoneticPr fontId="7" type="noConversion"/>
  </si>
  <si>
    <t>周年庆扭蛋机｜12000翡翠（超越+秘宝）攻略</t>
    <phoneticPr fontId="7" type="noConversion"/>
  </si>
  <si>
    <t>氪金日</t>
    <phoneticPr fontId="7" type="noConversion"/>
  </si>
  <si>
    <t>提前氪金糖果币Ⅰ得10币</t>
    <phoneticPr fontId="7" type="noConversion"/>
  </si>
  <si>
    <t>氪金糖果币礼包Ⅰ得10币</t>
    <phoneticPr fontId="7" type="noConversion"/>
  </si>
  <si>
    <t>在这个活动中为了多拿1个秘宝至少花12000翡翠，性价比不是很高，理性消费</t>
    <phoneticPr fontId="7" type="noConversion"/>
  </si>
  <si>
    <t>本方案的期望值只有2203蜜橙棒棒糖(多3个)。如果运气不好在第7天至少补1000翡翠，而在第1~5天再提前氪一次糖果币礼包Ⅰ(500翡翠)会比较稳妥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</si>
</sst>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.0"/>
    <numFmt numFmtId="178" formatCode="0.000"/>
  </numFmts>
  <fonts count="19">
    <font>
      <sz val="11"/>
      <color theme="1"/>
      <name val="等线"/>
    </font>
    <font>
      <sz val="11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theme="1"/>
      <name val="等线"/>
      <family val="3"/>
      <charset val="134"/>
    </font>
    <font>
      <sz val="11"/>
      <name val="Carlito"/>
    </font>
    <font>
      <sz val="11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9"/>
      <name val="宋体"/>
      <family val="3"/>
      <charset val="134"/>
    </font>
    <font>
      <b/>
      <sz val="20"/>
      <color rgb="FFFFFFFF"/>
      <name val="微软雅黑"/>
      <family val="2"/>
      <charset val="134"/>
    </font>
    <font>
      <sz val="11"/>
      <color rgb="FF9C0006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b/>
      <sz val="16"/>
      <color theme="0"/>
      <name val="微软雅黑"/>
      <family val="2"/>
      <charset val="134"/>
    </font>
    <font>
      <sz val="16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Calibri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rgb="FFFF0000"/>
      <name val="微软雅黑"/>
      <family val="2"/>
      <charset val="134"/>
    </font>
    <font>
      <sz val="11"/>
      <color theme="8"/>
      <name val="微软雅黑"/>
      <family val="2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59996337778862885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rgb="FF00B050"/>
      </patternFill>
    </fill>
    <fill>
      <patternFill patternType="solid">
        <fgColor rgb="FF7030A0"/>
      </patternFill>
    </fill>
    <fill>
      <patternFill patternType="solid">
        <fgColor theme="0"/>
      </patternFill>
    </fill>
    <fill>
      <patternFill patternType="solid">
        <fgColor rgb="FFC00000"/>
      </patternFill>
    </fill>
    <fill>
      <patternFill patternType="solid">
        <fgColor theme="5" tint="0.59996337778862885"/>
        <bgColor indexed="65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00B0F0"/>
      </patternFill>
    </fill>
    <fill>
      <patternFill patternType="solid">
        <fgColor theme="4"/>
      </patternFill>
    </fill>
    <fill>
      <patternFill patternType="solid">
        <fgColor rgb="FFFCE4D6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1B2E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8B8B"/>
        <bgColor indexed="64"/>
      </patternFill>
    </fill>
    <fill>
      <patternFill patternType="solid">
        <fgColor rgb="FFB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</patternFill>
    </fill>
    <fill>
      <patternFill patternType="solid">
        <fgColor rgb="FF92D050"/>
      </patternFill>
    </fill>
  </fills>
  <borders count="2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</borders>
  <cellStyleXfs count="9">
    <xf numFmtId="0" fontId="0" fillId="0" borderId="0"/>
    <xf numFmtId="0" fontId="3" fillId="0" borderId="0"/>
    <xf numFmtId="0" fontId="4" fillId="0" borderId="0"/>
    <xf numFmtId="0" fontId="4" fillId="0" borderId="0"/>
    <xf numFmtId="0" fontId="3" fillId="0" borderId="14"/>
    <xf numFmtId="0" fontId="3" fillId="0" borderId="14"/>
    <xf numFmtId="0" fontId="4" fillId="0" borderId="14"/>
    <xf numFmtId="0" fontId="4" fillId="0" borderId="14"/>
    <xf numFmtId="9" fontId="16" fillId="0" borderId="0" applyFont="0" applyFill="0" applyBorder="0" applyAlignment="0" applyProtection="0">
      <alignment vertical="center"/>
    </xf>
  </cellStyleXfs>
  <cellXfs count="193">
    <xf numFmtId="0" fontId="0" fillId="0" borderId="0" xfId="0"/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16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3" borderId="12" xfId="0" applyFont="1" applyFill="1" applyBorder="1" applyAlignment="1">
      <alignment horizontal="center"/>
    </xf>
    <xf numFmtId="177" fontId="1" fillId="3" borderId="13" xfId="0" applyNumberFormat="1" applyFont="1" applyFill="1" applyBorder="1" applyAlignment="1">
      <alignment horizontal="center"/>
    </xf>
    <xf numFmtId="177" fontId="1" fillId="3" borderId="12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77" fontId="1" fillId="0" borderId="3" xfId="0" applyNumberFormat="1" applyFont="1" applyBorder="1" applyAlignment="1">
      <alignment horizontal="center"/>
    </xf>
    <xf numFmtId="0" fontId="1" fillId="17" borderId="10" xfId="0" applyFont="1" applyFill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177" fontId="1" fillId="0" borderId="6" xfId="0" applyNumberFormat="1" applyFont="1" applyBorder="1" applyAlignment="1">
      <alignment horizontal="center"/>
    </xf>
    <xf numFmtId="0" fontId="1" fillId="0" borderId="14" xfId="0" applyFont="1" applyBorder="1" applyAlignment="1">
      <alignment vertical="center" wrapText="1"/>
    </xf>
    <xf numFmtId="0" fontId="1" fillId="0" borderId="14" xfId="5" applyFont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 wrapText="1"/>
    </xf>
    <xf numFmtId="0" fontId="1" fillId="19" borderId="2" xfId="0" applyFont="1" applyFill="1" applyBorder="1" applyAlignment="1">
      <alignment horizontal="center" vertical="center" wrapText="1"/>
    </xf>
    <xf numFmtId="0" fontId="1" fillId="19" borderId="3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2" fillId="20" borderId="2" xfId="0" applyFont="1" applyFill="1" applyBorder="1" applyAlignment="1">
      <alignment horizontal="center" vertical="center" wrapText="1"/>
    </xf>
    <xf numFmtId="0" fontId="2" fillId="20" borderId="3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19" borderId="9" xfId="0" applyFont="1" applyFill="1" applyBorder="1" applyAlignment="1">
      <alignment horizontal="center"/>
    </xf>
    <xf numFmtId="0" fontId="2" fillId="22" borderId="10" xfId="0" applyFont="1" applyFill="1" applyBorder="1" applyAlignment="1">
      <alignment horizontal="center"/>
    </xf>
    <xf numFmtId="1" fontId="1" fillId="0" borderId="14" xfId="5" applyNumberFormat="1" applyFont="1" applyAlignment="1">
      <alignment horizontal="center" vertical="center"/>
    </xf>
    <xf numFmtId="0" fontId="8" fillId="0" borderId="14" xfId="5" applyFont="1" applyAlignment="1">
      <alignment horizontal="center" vertical="center" wrapText="1"/>
    </xf>
    <xf numFmtId="0" fontId="5" fillId="0" borderId="14" xfId="7" applyFont="1" applyAlignment="1">
      <alignment horizontal="center" vertical="center"/>
    </xf>
    <xf numFmtId="0" fontId="1" fillId="0" borderId="18" xfId="5" applyFont="1" applyBorder="1" applyAlignment="1">
      <alignment horizontal="center" vertical="center" wrapText="1"/>
    </xf>
    <xf numFmtId="0" fontId="1" fillId="0" borderId="18" xfId="5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" fontId="1" fillId="24" borderId="1" xfId="0" applyNumberFormat="1" applyFont="1" applyFill="1" applyBorder="1" applyAlignment="1">
      <alignment horizontal="center"/>
    </xf>
    <xf numFmtId="177" fontId="1" fillId="25" borderId="3" xfId="0" applyNumberFormat="1" applyFont="1" applyFill="1" applyBorder="1" applyAlignment="1">
      <alignment horizontal="center"/>
    </xf>
    <xf numFmtId="177" fontId="1" fillId="0" borderId="5" xfId="0" applyNumberFormat="1" applyFont="1" applyBorder="1" applyAlignment="1">
      <alignment horizontal="center"/>
    </xf>
    <xf numFmtId="0" fontId="2" fillId="26" borderId="1" xfId="0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horizontal="center" vertical="center" wrapText="1"/>
    </xf>
    <xf numFmtId="0" fontId="2" fillId="20" borderId="9" xfId="0" applyFont="1" applyFill="1" applyBorder="1" applyAlignment="1">
      <alignment horizontal="center" vertical="center" wrapText="1"/>
    </xf>
    <xf numFmtId="0" fontId="2" fillId="20" borderId="10" xfId="0" applyFont="1" applyFill="1" applyBorder="1" applyAlignment="1">
      <alignment horizontal="center" vertical="center" wrapText="1"/>
    </xf>
    <xf numFmtId="0" fontId="2" fillId="20" borderId="11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/>
    <xf numFmtId="0" fontId="1" fillId="0" borderId="1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29" borderId="18" xfId="0" applyFont="1" applyFill="1" applyBorder="1" applyAlignment="1">
      <alignment horizontal="center" vertical="center"/>
    </xf>
    <xf numFmtId="0" fontId="1" fillId="30" borderId="4" xfId="0" applyFont="1" applyFill="1" applyBorder="1" applyAlignment="1">
      <alignment horizontal="center" vertical="center" wrapText="1"/>
    </xf>
    <xf numFmtId="0" fontId="1" fillId="30" borderId="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5" xfId="5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 wrapText="1"/>
    </xf>
    <xf numFmtId="0" fontId="1" fillId="0" borderId="14" xfId="5" applyFont="1" applyAlignment="1">
      <alignment horizontal="center"/>
    </xf>
    <xf numFmtId="9" fontId="1" fillId="0" borderId="14" xfId="5" applyNumberFormat="1" applyFont="1" applyAlignment="1">
      <alignment horizontal="center" vertical="center"/>
    </xf>
    <xf numFmtId="9" fontId="1" fillId="0" borderId="6" xfId="0" applyNumberFormat="1" applyFont="1" applyBorder="1" applyAlignment="1">
      <alignment horizontal="center" vertical="center"/>
    </xf>
    <xf numFmtId="176" fontId="1" fillId="0" borderId="7" xfId="0" applyNumberFormat="1" applyFont="1" applyBorder="1" applyAlignment="1">
      <alignment horizontal="center" vertical="center" wrapText="1"/>
    </xf>
    <xf numFmtId="0" fontId="1" fillId="0" borderId="8" xfId="5" applyFont="1" applyBorder="1" applyAlignment="1">
      <alignment horizontal="center" vertical="center"/>
    </xf>
    <xf numFmtId="178" fontId="1" fillId="0" borderId="5" xfId="0" applyNumberFormat="1" applyFont="1" applyBorder="1" applyAlignment="1">
      <alignment horizontal="center" vertical="center" wrapText="1"/>
    </xf>
    <xf numFmtId="178" fontId="1" fillId="0" borderId="8" xfId="0" applyNumberFormat="1" applyFont="1" applyBorder="1" applyAlignment="1">
      <alignment horizontal="center" vertical="center" wrapText="1"/>
    </xf>
    <xf numFmtId="0" fontId="1" fillId="0" borderId="1" xfId="5" applyFont="1" applyBorder="1" applyAlignment="1">
      <alignment horizontal="center" vertical="center"/>
    </xf>
    <xf numFmtId="0" fontId="1" fillId="0" borderId="2" xfId="5" applyFont="1" applyBorder="1" applyAlignment="1">
      <alignment horizontal="center" vertical="center"/>
    </xf>
    <xf numFmtId="0" fontId="1" fillId="0" borderId="3" xfId="5" applyFont="1" applyBorder="1" applyAlignment="1">
      <alignment horizontal="center" vertical="center"/>
    </xf>
    <xf numFmtId="0" fontId="1" fillId="0" borderId="14" xfId="5" applyFont="1"/>
    <xf numFmtId="0" fontId="1" fillId="0" borderId="4" xfId="5" applyFont="1" applyBorder="1" applyAlignment="1">
      <alignment horizontal="center" vertical="center"/>
    </xf>
    <xf numFmtId="0" fontId="1" fillId="0" borderId="4" xfId="5" applyFont="1" applyBorder="1"/>
    <xf numFmtId="0" fontId="1" fillId="0" borderId="6" xfId="5" applyFont="1" applyBorder="1" applyAlignment="1">
      <alignment horizontal="center" vertical="center"/>
    </xf>
    <xf numFmtId="0" fontId="2" fillId="34" borderId="7" xfId="5" applyFont="1" applyFill="1" applyBorder="1" applyAlignment="1">
      <alignment horizontal="center" vertical="center"/>
    </xf>
    <xf numFmtId="0" fontId="1" fillId="35" borderId="7" xfId="5" applyFont="1" applyFill="1" applyBorder="1" applyAlignment="1">
      <alignment horizontal="center" vertical="center"/>
    </xf>
    <xf numFmtId="0" fontId="1" fillId="11" borderId="7" xfId="5" applyFont="1" applyFill="1" applyBorder="1" applyAlignment="1">
      <alignment horizontal="center" vertical="center"/>
    </xf>
    <xf numFmtId="0" fontId="1" fillId="10" borderId="7" xfId="5" applyFont="1" applyFill="1" applyBorder="1" applyAlignment="1">
      <alignment horizontal="center" vertical="center"/>
    </xf>
    <xf numFmtId="0" fontId="1" fillId="14" borderId="18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4" xfId="5" applyFont="1" applyAlignment="1">
      <alignment horizontal="center"/>
    </xf>
    <xf numFmtId="9" fontId="17" fillId="0" borderId="14" xfId="5" applyNumberFormat="1" applyFont="1" applyAlignment="1">
      <alignment horizontal="center" vertical="center"/>
    </xf>
    <xf numFmtId="0" fontId="17" fillId="0" borderId="5" xfId="5" applyFont="1" applyBorder="1" applyAlignment="1">
      <alignment horizontal="center" vertical="center"/>
    </xf>
    <xf numFmtId="176" fontId="17" fillId="0" borderId="14" xfId="5" applyNumberFormat="1" applyFont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9" fontId="17" fillId="0" borderId="14" xfId="8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8" fillId="0" borderId="14" xfId="5" applyFont="1" applyAlignment="1">
      <alignment horizontal="center"/>
    </xf>
    <xf numFmtId="176" fontId="18" fillId="0" borderId="14" xfId="5" applyNumberFormat="1" applyFont="1" applyAlignment="1">
      <alignment horizontal="center" vertical="center"/>
    </xf>
    <xf numFmtId="0" fontId="18" fillId="0" borderId="5" xfId="5" applyFont="1" applyBorder="1" applyAlignment="1">
      <alignment horizontal="center" vertical="center"/>
    </xf>
    <xf numFmtId="178" fontId="1" fillId="0" borderId="7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23" borderId="1" xfId="0" applyFont="1" applyFill="1" applyBorder="1" applyAlignment="1">
      <alignment horizontal="center" vertical="center" wrapText="1"/>
    </xf>
    <xf numFmtId="0" fontId="1" fillId="23" borderId="2" xfId="0" applyFont="1" applyFill="1" applyBorder="1" applyAlignment="1">
      <alignment horizontal="center" vertical="center" wrapText="1"/>
    </xf>
    <xf numFmtId="0" fontId="1" fillId="23" borderId="3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 vertical="center" wrapText="1"/>
    </xf>
    <xf numFmtId="0" fontId="1" fillId="18" borderId="2" xfId="0" applyFont="1" applyFill="1" applyBorder="1" applyAlignment="1">
      <alignment horizontal="center" vertical="center" wrapText="1"/>
    </xf>
    <xf numFmtId="0" fontId="1" fillId="18" borderId="3" xfId="0" applyFont="1" applyFill="1" applyBorder="1" applyAlignment="1">
      <alignment horizontal="center" vertical="center" wrapText="1"/>
    </xf>
    <xf numFmtId="0" fontId="1" fillId="24" borderId="1" xfId="0" applyFont="1" applyFill="1" applyBorder="1" applyAlignment="1">
      <alignment horizontal="center" vertical="center"/>
    </xf>
    <xf numFmtId="0" fontId="1" fillId="24" borderId="2" xfId="0" applyFont="1" applyFill="1" applyBorder="1" applyAlignment="1">
      <alignment horizontal="center" vertical="center"/>
    </xf>
    <xf numFmtId="0" fontId="1" fillId="24" borderId="3" xfId="0" applyFont="1" applyFill="1" applyBorder="1" applyAlignment="1">
      <alignment horizontal="center" vertical="center"/>
    </xf>
    <xf numFmtId="0" fontId="1" fillId="33" borderId="1" xfId="0" applyFont="1" applyFill="1" applyBorder="1" applyAlignment="1">
      <alignment horizontal="center" vertical="center"/>
    </xf>
    <xf numFmtId="0" fontId="1" fillId="33" borderId="2" xfId="0" applyFont="1" applyFill="1" applyBorder="1" applyAlignment="1">
      <alignment horizontal="center" vertical="center"/>
    </xf>
    <xf numFmtId="0" fontId="1" fillId="33" borderId="3" xfId="0" applyFont="1" applyFill="1" applyBorder="1" applyAlignment="1">
      <alignment horizontal="center" vertical="center"/>
    </xf>
    <xf numFmtId="10" fontId="1" fillId="0" borderId="14" xfId="0" applyNumberFormat="1" applyFont="1" applyBorder="1" applyAlignment="1">
      <alignment horizontal="center" vertical="center" wrapText="1"/>
    </xf>
    <xf numFmtId="0" fontId="1" fillId="31" borderId="18" xfId="5" applyFont="1" applyFill="1" applyBorder="1" applyAlignment="1">
      <alignment horizontal="center" vertical="center" wrapText="1"/>
    </xf>
    <xf numFmtId="0" fontId="1" fillId="32" borderId="12" xfId="5" applyFont="1" applyFill="1" applyBorder="1" applyAlignment="1">
      <alignment horizontal="center" vertical="center" wrapText="1"/>
    </xf>
    <xf numFmtId="0" fontId="1" fillId="32" borderId="19" xfId="5" applyFont="1" applyFill="1" applyBorder="1" applyAlignment="1">
      <alignment horizontal="center" vertical="center" wrapText="1"/>
    </xf>
    <xf numFmtId="0" fontId="1" fillId="32" borderId="13" xfId="5" applyFont="1" applyFill="1" applyBorder="1" applyAlignment="1">
      <alignment horizontal="center" vertical="center" wrapText="1"/>
    </xf>
    <xf numFmtId="0" fontId="9" fillId="13" borderId="15" xfId="0" applyFont="1" applyFill="1" applyBorder="1" applyAlignment="1">
      <alignment horizontal="center" vertical="center" wrapText="1"/>
    </xf>
    <xf numFmtId="0" fontId="9" fillId="13" borderId="16" xfId="0" applyFont="1" applyFill="1" applyBorder="1" applyAlignment="1">
      <alignment horizontal="center" vertical="center" wrapText="1"/>
    </xf>
    <xf numFmtId="0" fontId="9" fillId="13" borderId="17" xfId="0" applyFont="1" applyFill="1" applyBorder="1" applyAlignment="1">
      <alignment horizontal="center" vertical="center" wrapText="1"/>
    </xf>
    <xf numFmtId="0" fontId="1" fillId="29" borderId="9" xfId="0" applyFont="1" applyFill="1" applyBorder="1" applyAlignment="1">
      <alignment horizontal="center" vertical="center"/>
    </xf>
    <xf numFmtId="0" fontId="1" fillId="29" borderId="10" xfId="0" applyFont="1" applyFill="1" applyBorder="1" applyAlignment="1">
      <alignment horizontal="center" vertical="center"/>
    </xf>
    <xf numFmtId="0" fontId="1" fillId="29" borderId="11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3" fillId="28" borderId="12" xfId="0" applyFont="1" applyFill="1" applyBorder="1" applyAlignment="1">
      <alignment horizontal="center" vertical="center"/>
    </xf>
    <xf numFmtId="0" fontId="13" fillId="28" borderId="19" xfId="0" applyFont="1" applyFill="1" applyBorder="1" applyAlignment="1">
      <alignment horizontal="center" vertical="center"/>
    </xf>
    <xf numFmtId="0" fontId="13" fillId="28" borderId="13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6" borderId="9" xfId="0" applyFont="1" applyFill="1" applyBorder="1" applyAlignment="1">
      <alignment horizontal="center" vertical="center"/>
    </xf>
    <xf numFmtId="0" fontId="2" fillId="26" borderId="1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0" fillId="27" borderId="12" xfId="0" applyFont="1" applyFill="1" applyBorder="1" applyAlignment="1">
      <alignment horizontal="center" vertical="center"/>
    </xf>
    <xf numFmtId="0" fontId="10" fillId="27" borderId="19" xfId="0" applyFont="1" applyFill="1" applyBorder="1" applyAlignment="1">
      <alignment horizontal="center" vertical="center"/>
    </xf>
    <xf numFmtId="0" fontId="10" fillId="27" borderId="13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0" fillId="21" borderId="6" xfId="0" applyFont="1" applyFill="1" applyBorder="1" applyAlignment="1">
      <alignment horizontal="center" vertical="center"/>
    </xf>
    <xf numFmtId="0" fontId="10" fillId="21" borderId="7" xfId="0" applyFont="1" applyFill="1" applyBorder="1" applyAlignment="1">
      <alignment horizontal="center" vertical="center"/>
    </xf>
    <xf numFmtId="0" fontId="10" fillId="21" borderId="8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</cellXfs>
  <cellStyles count="9">
    <cellStyle name="Normal" xfId="2" xr:uid="{00000000-0005-0000-0000-000000000000}"/>
    <cellStyle name="Normal 2" xfId="6" xr:uid="{2C40627B-0060-4377-8A91-AFF8178D0484}"/>
    <cellStyle name="百分比" xfId="8" builtinId="5"/>
    <cellStyle name="常规" xfId="0" builtinId="0"/>
    <cellStyle name="常规 2" xfId="1" xr:uid="{00000000-0005-0000-0000-000002000000}"/>
    <cellStyle name="常规 2 2" xfId="5" xr:uid="{76FFBABE-9117-4AF1-9EA3-CA10B242D942}"/>
    <cellStyle name="常规 3" xfId="3" xr:uid="{00000000-0005-0000-0000-000003000000}"/>
    <cellStyle name="常规 3 2" xfId="7" xr:uid="{89081A53-DE0B-4B56-A1DA-488106F0CF98}"/>
    <cellStyle name="常规 4" xfId="4" xr:uid="{14A84218-D7CA-4C62-A65E-8A46BB85F092}"/>
  </cellStyles>
  <dxfs count="24">
    <dxf>
      <font>
        <color theme="0"/>
      </font>
      <fill>
        <patternFill>
          <bgColor rgb="FF7030A0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599932859279152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B3FFE0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599932859279152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B3FFE0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F9999"/>
      <color rgb="FFFF6600"/>
      <color rgb="FFFF8B8B"/>
      <color rgb="FFFFCCFF"/>
      <color rgb="FFB00000"/>
      <color rgb="FFD1B2E8"/>
      <color rgb="FFCC00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3C265-907A-4D0C-923C-62905A957D98}">
  <dimension ref="A1:F15"/>
  <sheetViews>
    <sheetView workbookViewId="0">
      <selection activeCell="N7" sqref="N7"/>
    </sheetView>
  </sheetViews>
  <sheetFormatPr defaultRowHeight="15.6"/>
  <cols>
    <col min="1" max="1" width="37.21875" style="108" bestFit="1" customWidth="1"/>
    <col min="2" max="2" width="11.6640625" style="108" bestFit="1" customWidth="1"/>
    <col min="3" max="3" width="14.33203125" style="108" customWidth="1"/>
    <col min="4" max="4" width="13.5546875" style="108" customWidth="1"/>
    <col min="5" max="5" width="16.109375" style="108" bestFit="1" customWidth="1"/>
    <col min="6" max="6" width="18.5546875" style="108" bestFit="1" customWidth="1"/>
    <col min="7" max="16384" width="8.88671875" style="108"/>
  </cols>
  <sheetData>
    <row r="1" spans="1:6" ht="16.2" thickTop="1">
      <c r="A1" s="105" t="s">
        <v>207</v>
      </c>
      <c r="B1" s="106" t="s">
        <v>208</v>
      </c>
      <c r="C1" s="106" t="s">
        <v>0</v>
      </c>
      <c r="D1" s="106" t="s">
        <v>209</v>
      </c>
      <c r="E1" s="106" t="s">
        <v>211</v>
      </c>
      <c r="F1" s="107" t="s">
        <v>210</v>
      </c>
    </row>
    <row r="2" spans="1:6">
      <c r="A2" s="109" t="s">
        <v>212</v>
      </c>
      <c r="B2" s="54">
        <v>0</v>
      </c>
      <c r="C2" s="54">
        <v>0</v>
      </c>
      <c r="D2" s="54">
        <v>0</v>
      </c>
      <c r="E2" s="54">
        <v>20</v>
      </c>
      <c r="F2" s="96"/>
    </row>
    <row r="3" spans="1:6">
      <c r="A3" s="109" t="s">
        <v>215</v>
      </c>
      <c r="B3" s="54">
        <v>0</v>
      </c>
      <c r="C3" s="54">
        <v>0</v>
      </c>
      <c r="D3" s="54">
        <v>0</v>
      </c>
      <c r="E3" s="54">
        <v>34</v>
      </c>
      <c r="F3" s="96"/>
    </row>
    <row r="4" spans="1:6">
      <c r="A4" s="109" t="s">
        <v>216</v>
      </c>
      <c r="B4" s="54">
        <v>0</v>
      </c>
      <c r="C4" s="54">
        <v>0</v>
      </c>
      <c r="D4" s="54">
        <v>10000</v>
      </c>
      <c r="E4" s="54">
        <v>20</v>
      </c>
      <c r="F4" s="96"/>
    </row>
    <row r="5" spans="1:6">
      <c r="A5" s="109" t="s">
        <v>213</v>
      </c>
      <c r="B5" s="54">
        <v>68</v>
      </c>
      <c r="C5" s="54">
        <v>1000</v>
      </c>
      <c r="D5" s="54">
        <v>0</v>
      </c>
      <c r="E5" s="54">
        <v>80</v>
      </c>
      <c r="F5" s="96">
        <f t="shared" ref="F5:F11" si="0">E5/C5</f>
        <v>0.08</v>
      </c>
    </row>
    <row r="6" spans="1:6">
      <c r="A6" s="109" t="s">
        <v>214</v>
      </c>
      <c r="B6" s="54">
        <v>68</v>
      </c>
      <c r="C6" s="54">
        <v>1000</v>
      </c>
      <c r="D6" s="54">
        <v>0</v>
      </c>
      <c r="E6" s="54">
        <v>23</v>
      </c>
      <c r="F6" s="96">
        <f t="shared" si="0"/>
        <v>2.3E-2</v>
      </c>
    </row>
    <row r="7" spans="1:6">
      <c r="A7" s="109" t="s">
        <v>219</v>
      </c>
      <c r="B7" s="54">
        <v>30</v>
      </c>
      <c r="C7" s="54">
        <v>500</v>
      </c>
      <c r="D7" s="54">
        <v>0</v>
      </c>
      <c r="E7" s="54">
        <v>10</v>
      </c>
      <c r="F7" s="96">
        <f t="shared" si="0"/>
        <v>0.02</v>
      </c>
    </row>
    <row r="8" spans="1:6">
      <c r="A8" s="109" t="s">
        <v>217</v>
      </c>
      <c r="B8" s="54">
        <v>60</v>
      </c>
      <c r="C8" s="54">
        <v>1000</v>
      </c>
      <c r="D8" s="54">
        <v>0</v>
      </c>
      <c r="E8" s="54">
        <v>20</v>
      </c>
      <c r="F8" s="96">
        <f t="shared" si="0"/>
        <v>0.02</v>
      </c>
    </row>
    <row r="9" spans="1:6">
      <c r="A9" s="109" t="s">
        <v>220</v>
      </c>
      <c r="B9" s="54">
        <f>68</f>
        <v>68</v>
      </c>
      <c r="C9" s="54">
        <v>1000</v>
      </c>
      <c r="D9" s="54">
        <v>0</v>
      </c>
      <c r="E9" s="54">
        <v>20</v>
      </c>
      <c r="F9" s="96">
        <f t="shared" si="0"/>
        <v>0.02</v>
      </c>
    </row>
    <row r="10" spans="1:6">
      <c r="A10" s="109" t="s">
        <v>218</v>
      </c>
      <c r="B10" s="54">
        <f>68*2</f>
        <v>136</v>
      </c>
      <c r="C10" s="54">
        <v>2000</v>
      </c>
      <c r="D10" s="54">
        <v>0</v>
      </c>
      <c r="E10" s="54">
        <v>40</v>
      </c>
      <c r="F10" s="96">
        <f t="shared" si="0"/>
        <v>0.02</v>
      </c>
    </row>
    <row r="11" spans="1:6">
      <c r="A11" s="109" t="s">
        <v>214</v>
      </c>
      <c r="B11" s="54">
        <v>128</v>
      </c>
      <c r="C11" s="54">
        <v>2000</v>
      </c>
      <c r="D11" s="54">
        <v>0</v>
      </c>
      <c r="E11" s="54">
        <v>35</v>
      </c>
      <c r="F11" s="96">
        <f t="shared" si="0"/>
        <v>1.7500000000000002E-2</v>
      </c>
    </row>
    <row r="12" spans="1:6">
      <c r="A12" s="110"/>
      <c r="F12" s="96"/>
    </row>
    <row r="13" spans="1:6">
      <c r="A13" s="109"/>
      <c r="B13" s="54"/>
      <c r="C13" s="54"/>
      <c r="D13" s="54"/>
      <c r="E13" s="54"/>
      <c r="F13" s="96"/>
    </row>
    <row r="14" spans="1:6" ht="16.2" thickBot="1">
      <c r="A14" s="111" t="s">
        <v>1</v>
      </c>
      <c r="B14" s="112" t="str">
        <f>SUM(B2:B13)&amp;"元"</f>
        <v>558元</v>
      </c>
      <c r="C14" s="113" t="str">
        <f>SUM(C2:C11)&amp;"翡翠"</f>
        <v>8500翡翠</v>
      </c>
      <c r="D14" s="114" t="str">
        <f>SUM(D2:D11)&amp;"钻石"</f>
        <v>10000钻石</v>
      </c>
      <c r="E14" s="115" t="str">
        <f>SUM(E2:E11)&amp;"张"</f>
        <v>302张</v>
      </c>
      <c r="F14" s="102"/>
    </row>
    <row r="15" spans="1:6" ht="16.2" thickTop="1"/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818B5-9BE6-4392-988F-E7B21D1B492B}">
  <dimension ref="B1:L35"/>
  <sheetViews>
    <sheetView workbookViewId="0">
      <selection activeCell="H24" sqref="H24"/>
    </sheetView>
  </sheetViews>
  <sheetFormatPr defaultRowHeight="15.6"/>
  <cols>
    <col min="1" max="1" width="8.88671875" style="54"/>
    <col min="2" max="2" width="19.5546875" style="54" customWidth="1"/>
    <col min="3" max="3" width="26.88671875" style="54" bestFit="1" customWidth="1"/>
    <col min="4" max="4" width="9.5546875" style="54" bestFit="1" customWidth="1"/>
    <col min="5" max="5" width="17.88671875" style="54" bestFit="1" customWidth="1"/>
    <col min="6" max="6" width="10.44140625" style="54" customWidth="1"/>
    <col min="7" max="7" width="23.44140625" style="54" bestFit="1" customWidth="1"/>
    <col min="8" max="8" width="20.44140625" style="54" customWidth="1"/>
    <col min="9" max="9" width="8.88671875" style="54"/>
    <col min="10" max="10" width="22.33203125" style="54" customWidth="1"/>
    <col min="11" max="11" width="11.5546875" style="54" customWidth="1"/>
    <col min="12" max="12" width="12.33203125" style="54" customWidth="1"/>
    <col min="13" max="14" width="10" style="54" customWidth="1"/>
    <col min="15" max="16384" width="8.88671875" style="54"/>
  </cols>
  <sheetData>
    <row r="1" spans="2:12" ht="16.8" thickTop="1" thickBot="1">
      <c r="B1" s="155" t="s">
        <v>57</v>
      </c>
      <c r="C1" s="156"/>
      <c r="D1" s="156"/>
      <c r="E1" s="157"/>
      <c r="G1" s="154" t="s">
        <v>58</v>
      </c>
      <c r="H1" s="154"/>
      <c r="I1" s="154"/>
      <c r="J1" s="154"/>
    </row>
    <row r="2" spans="2:12" ht="16.8" thickTop="1" thickBot="1">
      <c r="B2" s="75" t="s">
        <v>54</v>
      </c>
      <c r="C2" s="75" t="s">
        <v>55</v>
      </c>
      <c r="D2" s="75" t="s">
        <v>56</v>
      </c>
      <c r="E2" s="74" t="s">
        <v>60</v>
      </c>
      <c r="G2" s="74" t="s">
        <v>54</v>
      </c>
      <c r="H2" s="74" t="s">
        <v>55</v>
      </c>
      <c r="I2" s="74" t="s">
        <v>56</v>
      </c>
      <c r="J2" s="74" t="s">
        <v>60</v>
      </c>
    </row>
    <row r="3" spans="2:12" ht="16.8" thickTop="1" thickBot="1">
      <c r="B3" s="75" t="s">
        <v>200</v>
      </c>
      <c r="C3" s="75" t="s">
        <v>186</v>
      </c>
      <c r="D3" s="75">
        <v>1</v>
      </c>
      <c r="E3" s="75"/>
      <c r="G3" s="75" t="s">
        <v>148</v>
      </c>
      <c r="H3" s="75" t="s">
        <v>149</v>
      </c>
      <c r="I3" s="75">
        <v>1</v>
      </c>
      <c r="J3" s="75"/>
    </row>
    <row r="4" spans="2:12" ht="16.8" thickTop="1" thickBot="1">
      <c r="B4" s="75" t="s">
        <v>127</v>
      </c>
      <c r="C4" s="75" t="s">
        <v>128</v>
      </c>
      <c r="D4" s="75">
        <v>8</v>
      </c>
      <c r="E4" s="75"/>
      <c r="G4" s="75" t="s">
        <v>150</v>
      </c>
      <c r="H4" s="75" t="s">
        <v>192</v>
      </c>
      <c r="I4" s="75">
        <v>1</v>
      </c>
      <c r="J4" s="75"/>
    </row>
    <row r="5" spans="2:12" ht="16.8" thickTop="1" thickBot="1">
      <c r="B5" s="75" t="s">
        <v>127</v>
      </c>
      <c r="C5" s="75" t="s">
        <v>129</v>
      </c>
      <c r="D5" s="75">
        <v>8</v>
      </c>
      <c r="E5" s="75"/>
      <c r="G5" s="75" t="s">
        <v>151</v>
      </c>
      <c r="H5" s="75" t="s">
        <v>193</v>
      </c>
      <c r="I5" s="75">
        <v>2</v>
      </c>
      <c r="J5" s="75"/>
    </row>
    <row r="6" spans="2:12" ht="16.8" thickTop="1" thickBot="1">
      <c r="B6" s="75" t="s">
        <v>126</v>
      </c>
      <c r="C6" s="75" t="s">
        <v>189</v>
      </c>
      <c r="D6" s="75">
        <v>1</v>
      </c>
      <c r="E6" s="75"/>
      <c r="G6" s="75" t="s">
        <v>148</v>
      </c>
      <c r="H6" s="75" t="s">
        <v>43</v>
      </c>
      <c r="I6" s="75">
        <v>5</v>
      </c>
      <c r="J6" s="75"/>
    </row>
    <row r="7" spans="2:12" ht="16.8" thickTop="1" thickBot="1">
      <c r="B7" s="75" t="s">
        <v>126</v>
      </c>
      <c r="C7" s="75" t="s">
        <v>190</v>
      </c>
      <c r="D7" s="75">
        <v>1</v>
      </c>
      <c r="E7" s="75"/>
      <c r="G7" s="75" t="s">
        <v>152</v>
      </c>
      <c r="H7" s="75" t="s">
        <v>117</v>
      </c>
      <c r="I7" s="75">
        <v>5</v>
      </c>
      <c r="J7" s="75"/>
    </row>
    <row r="8" spans="2:12" ht="16.8" thickTop="1" thickBot="1">
      <c r="B8" s="75" t="s">
        <v>126</v>
      </c>
      <c r="C8" s="75" t="s">
        <v>130</v>
      </c>
      <c r="D8" s="75">
        <v>1</v>
      </c>
      <c r="E8" s="75"/>
      <c r="G8" s="75" t="s">
        <v>153</v>
      </c>
      <c r="H8" s="75" t="s">
        <v>48</v>
      </c>
      <c r="I8" s="75">
        <v>5</v>
      </c>
      <c r="J8" s="75"/>
    </row>
    <row r="9" spans="2:12" ht="16.8" thickTop="1" thickBot="1">
      <c r="B9" s="75" t="s">
        <v>126</v>
      </c>
      <c r="C9" s="75" t="s">
        <v>131</v>
      </c>
      <c r="D9" s="75">
        <v>1</v>
      </c>
      <c r="E9" s="75"/>
      <c r="G9" s="75" t="s">
        <v>154</v>
      </c>
      <c r="H9" s="75" t="s">
        <v>118</v>
      </c>
      <c r="I9" s="75">
        <v>5</v>
      </c>
      <c r="J9" s="75"/>
    </row>
    <row r="10" spans="2:12" ht="16.8" thickTop="1" thickBot="1">
      <c r="B10" s="75" t="s">
        <v>126</v>
      </c>
      <c r="C10" s="75" t="s">
        <v>132</v>
      </c>
      <c r="D10" s="75">
        <v>1</v>
      </c>
      <c r="E10" s="75"/>
      <c r="G10" s="75" t="s">
        <v>155</v>
      </c>
      <c r="H10" s="75" t="s">
        <v>119</v>
      </c>
      <c r="I10" s="75">
        <v>5</v>
      </c>
      <c r="J10" s="75"/>
    </row>
    <row r="11" spans="2:12" ht="16.8" thickTop="1" thickBot="1">
      <c r="B11" s="75" t="s">
        <v>126</v>
      </c>
      <c r="C11" s="75" t="s">
        <v>133</v>
      </c>
      <c r="D11" s="75">
        <v>1</v>
      </c>
      <c r="E11" s="75"/>
      <c r="G11" s="75" t="s">
        <v>155</v>
      </c>
      <c r="H11" s="75" t="s">
        <v>49</v>
      </c>
      <c r="I11" s="75">
        <v>1</v>
      </c>
      <c r="J11" s="75"/>
    </row>
    <row r="12" spans="2:12" ht="16.8" thickTop="1" thickBot="1">
      <c r="B12" s="75" t="s">
        <v>134</v>
      </c>
      <c r="C12" s="75" t="s">
        <v>66</v>
      </c>
      <c r="D12" s="75">
        <v>5</v>
      </c>
      <c r="E12" s="75"/>
      <c r="G12" s="75" t="s">
        <v>156</v>
      </c>
      <c r="H12" s="75" t="s">
        <v>157</v>
      </c>
      <c r="I12" s="75">
        <v>3</v>
      </c>
      <c r="J12" s="75"/>
    </row>
    <row r="13" spans="2:12" ht="16.8" thickTop="1" thickBot="1">
      <c r="B13" s="75" t="s">
        <v>135</v>
      </c>
      <c r="C13" s="75" t="s">
        <v>136</v>
      </c>
      <c r="D13" s="75">
        <v>6</v>
      </c>
      <c r="E13" s="75"/>
      <c r="G13" s="75" t="s">
        <v>158</v>
      </c>
      <c r="H13" s="75" t="s">
        <v>68</v>
      </c>
      <c r="I13" s="75">
        <v>4</v>
      </c>
      <c r="J13" s="75"/>
    </row>
    <row r="14" spans="2:12" ht="16.8" thickTop="1" thickBot="1">
      <c r="B14" s="75" t="s">
        <v>137</v>
      </c>
      <c r="C14" s="75" t="s">
        <v>138</v>
      </c>
      <c r="D14" s="75">
        <v>20</v>
      </c>
      <c r="E14" s="75"/>
      <c r="G14" s="75" t="s">
        <v>159</v>
      </c>
      <c r="H14" s="75" t="s">
        <v>50</v>
      </c>
      <c r="I14" s="75">
        <v>10</v>
      </c>
      <c r="J14" s="75"/>
      <c r="K14" s="71"/>
      <c r="L14" s="71"/>
    </row>
    <row r="15" spans="2:12" ht="16.8" thickTop="1" thickBot="1">
      <c r="B15" s="75" t="s">
        <v>139</v>
      </c>
      <c r="C15" s="75" t="s">
        <v>140</v>
      </c>
      <c r="D15" s="75">
        <v>1</v>
      </c>
      <c r="E15" s="75"/>
      <c r="G15" s="75" t="s">
        <v>160</v>
      </c>
      <c r="H15" s="75" t="s">
        <v>69</v>
      </c>
      <c r="I15" s="75">
        <v>30</v>
      </c>
      <c r="J15" s="75"/>
      <c r="K15" s="71"/>
      <c r="L15" s="71"/>
    </row>
    <row r="16" spans="2:12" ht="16.8" thickTop="1" thickBot="1">
      <c r="B16" s="75" t="s">
        <v>141</v>
      </c>
      <c r="C16" s="75" t="s">
        <v>116</v>
      </c>
      <c r="D16" s="75">
        <v>5</v>
      </c>
      <c r="E16" s="75"/>
      <c r="G16" s="75" t="s">
        <v>161</v>
      </c>
      <c r="H16" s="75" t="s">
        <v>120</v>
      </c>
      <c r="I16" s="75">
        <v>5</v>
      </c>
      <c r="J16" s="75"/>
      <c r="K16" s="71"/>
      <c r="L16" s="71"/>
    </row>
    <row r="17" spans="2:12" ht="16.8" thickTop="1" thickBot="1">
      <c r="B17" s="75" t="s">
        <v>142</v>
      </c>
      <c r="C17" s="75" t="s">
        <v>67</v>
      </c>
      <c r="D17" s="75">
        <v>5</v>
      </c>
      <c r="E17" s="75"/>
      <c r="G17" s="75" t="s">
        <v>161</v>
      </c>
      <c r="H17" s="75" t="s">
        <v>121</v>
      </c>
      <c r="I17" s="75">
        <v>20</v>
      </c>
      <c r="J17" s="75"/>
    </row>
    <row r="18" spans="2:12" ht="16.8" thickTop="1" thickBot="1">
      <c r="B18" s="75" t="s">
        <v>143</v>
      </c>
      <c r="C18" s="75" t="s">
        <v>144</v>
      </c>
      <c r="D18" s="75">
        <v>1</v>
      </c>
      <c r="E18" s="75"/>
      <c r="G18" s="75" t="s">
        <v>162</v>
      </c>
      <c r="H18" s="75" t="s">
        <v>122</v>
      </c>
      <c r="I18" s="75">
        <v>20</v>
      </c>
      <c r="J18" s="75"/>
    </row>
    <row r="19" spans="2:12" ht="32.4" thickTop="1" thickBot="1">
      <c r="B19" s="75" t="s">
        <v>143</v>
      </c>
      <c r="C19" s="75" t="s">
        <v>145</v>
      </c>
      <c r="D19" s="75">
        <v>1</v>
      </c>
      <c r="E19" s="75"/>
      <c r="G19" s="75" t="s">
        <v>163</v>
      </c>
      <c r="H19" s="75" t="s">
        <v>204</v>
      </c>
      <c r="I19" s="75">
        <v>4</v>
      </c>
      <c r="J19" s="74" t="s">
        <v>59</v>
      </c>
      <c r="K19" s="71"/>
      <c r="L19" s="71"/>
    </row>
    <row r="20" spans="2:12" ht="16.8" thickTop="1" thickBot="1">
      <c r="B20" s="75" t="s">
        <v>146</v>
      </c>
      <c r="C20" s="75" t="s">
        <v>44</v>
      </c>
      <c r="D20" s="75">
        <v>1</v>
      </c>
      <c r="E20" s="75"/>
      <c r="G20" s="75" t="s">
        <v>163</v>
      </c>
      <c r="H20" s="75" t="s">
        <v>51</v>
      </c>
      <c r="I20" s="75">
        <v>10</v>
      </c>
      <c r="J20" s="75"/>
    </row>
    <row r="21" spans="2:12" ht="16.8" thickTop="1" thickBot="1">
      <c r="B21" s="75" t="s">
        <v>139</v>
      </c>
      <c r="C21" s="75" t="s">
        <v>45</v>
      </c>
      <c r="D21" s="75">
        <v>1</v>
      </c>
      <c r="E21" s="75"/>
      <c r="G21" s="75" t="s">
        <v>163</v>
      </c>
      <c r="H21" s="75" t="s">
        <v>164</v>
      </c>
      <c r="I21" s="75">
        <v>10</v>
      </c>
      <c r="J21" s="75"/>
    </row>
    <row r="22" spans="2:12" ht="16.8" thickTop="1" thickBot="1">
      <c r="B22" s="75" t="s">
        <v>135</v>
      </c>
      <c r="C22" s="75" t="s">
        <v>46</v>
      </c>
      <c r="D22" s="75">
        <v>1</v>
      </c>
      <c r="E22" s="75"/>
      <c r="G22" s="75" t="s">
        <v>163</v>
      </c>
      <c r="H22" s="75" t="s">
        <v>52</v>
      </c>
      <c r="I22" s="75">
        <v>6</v>
      </c>
      <c r="J22" s="75"/>
      <c r="K22" s="71"/>
      <c r="L22" s="71"/>
    </row>
    <row r="23" spans="2:12" ht="16.8" thickTop="1" thickBot="1">
      <c r="B23" s="75" t="s">
        <v>147</v>
      </c>
      <c r="C23" s="75" t="s">
        <v>47</v>
      </c>
      <c r="D23" s="75">
        <v>4294967295</v>
      </c>
      <c r="E23" s="75"/>
      <c r="G23" s="75" t="s">
        <v>163</v>
      </c>
      <c r="H23" s="75" t="s">
        <v>165</v>
      </c>
      <c r="I23" s="75">
        <v>6</v>
      </c>
      <c r="J23" s="75"/>
      <c r="K23" s="71"/>
      <c r="L23" s="71"/>
    </row>
    <row r="24" spans="2:12" ht="32.4" thickTop="1" thickBot="1">
      <c r="B24" s="73"/>
      <c r="C24" s="73"/>
      <c r="D24" s="73"/>
      <c r="E24" s="72"/>
      <c r="G24" s="75" t="s">
        <v>166</v>
      </c>
      <c r="H24" s="75" t="s">
        <v>205</v>
      </c>
      <c r="I24" s="75">
        <v>10</v>
      </c>
      <c r="J24" s="74" t="s">
        <v>59</v>
      </c>
      <c r="K24" s="71"/>
      <c r="L24" s="71"/>
    </row>
    <row r="25" spans="2:12" ht="29.4" thickTop="1" thickBot="1">
      <c r="B25" s="73"/>
      <c r="C25" s="73"/>
      <c r="D25" s="73"/>
      <c r="E25" s="72"/>
      <c r="G25" s="75" t="s">
        <v>167</v>
      </c>
      <c r="H25" s="75" t="s">
        <v>70</v>
      </c>
      <c r="I25" s="75">
        <v>10</v>
      </c>
      <c r="J25" s="75"/>
      <c r="K25" s="71"/>
      <c r="L25" s="71"/>
    </row>
    <row r="26" spans="2:12" ht="29.4" thickTop="1" thickBot="1">
      <c r="B26" s="73"/>
      <c r="C26" s="73"/>
      <c r="D26" s="73"/>
      <c r="E26" s="72"/>
      <c r="G26" s="75" t="s">
        <v>167</v>
      </c>
      <c r="H26" s="75" t="s">
        <v>47</v>
      </c>
      <c r="I26" s="75">
        <v>4294967295</v>
      </c>
      <c r="J26" s="75"/>
    </row>
    <row r="27" spans="2:12" ht="29.4" thickTop="1" thickBot="1">
      <c r="B27" s="73"/>
      <c r="C27" s="73"/>
      <c r="D27" s="73"/>
      <c r="E27" s="72"/>
      <c r="G27" s="75" t="s">
        <v>168</v>
      </c>
      <c r="H27" s="75" t="s">
        <v>53</v>
      </c>
      <c r="I27" s="75">
        <v>15</v>
      </c>
      <c r="J27" s="75"/>
    </row>
    <row r="28" spans="2:12" ht="16.8" thickTop="1" thickBot="1">
      <c r="G28" s="75" t="s">
        <v>169</v>
      </c>
      <c r="H28" s="75" t="s">
        <v>71</v>
      </c>
      <c r="I28" s="75">
        <v>200</v>
      </c>
      <c r="J28" s="75"/>
    </row>
    <row r="29" spans="2:12" ht="16.8" thickTop="1" thickBot="1">
      <c r="G29" s="75" t="s">
        <v>169</v>
      </c>
      <c r="H29" s="75" t="s">
        <v>72</v>
      </c>
      <c r="I29" s="75">
        <v>200</v>
      </c>
      <c r="J29" s="75"/>
    </row>
    <row r="30" spans="2:12" ht="16.2" thickTop="1"/>
    <row r="33" spans="11:12">
      <c r="K33" s="71"/>
      <c r="L33" s="71"/>
    </row>
    <row r="35" spans="11:12">
      <c r="K35" s="71"/>
      <c r="L35" s="71"/>
    </row>
  </sheetData>
  <mergeCells count="2">
    <mergeCell ref="G1:J1"/>
    <mergeCell ref="B1:E1"/>
  </mergeCells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W43"/>
  <sheetViews>
    <sheetView topLeftCell="A16" workbookViewId="0">
      <selection activeCell="D14" sqref="D14"/>
    </sheetView>
  </sheetViews>
  <sheetFormatPr defaultRowHeight="15.6"/>
  <cols>
    <col min="1" max="1" width="15.6640625" style="25" customWidth="1"/>
    <col min="2" max="4" width="11.6640625" style="25" bestFit="1" customWidth="1"/>
    <col min="5" max="5" width="8.33203125" style="25" customWidth="1"/>
    <col min="6" max="6" width="15.33203125" style="25" bestFit="1" customWidth="1"/>
    <col min="7" max="7" width="5.5546875" style="25" bestFit="1" customWidth="1"/>
    <col min="8" max="8" width="7.44140625" style="25" bestFit="1" customWidth="1"/>
    <col min="9" max="9" width="8.109375" style="25" bestFit="1" customWidth="1"/>
    <col min="10" max="10" width="5.5546875" style="25" bestFit="1" customWidth="1"/>
    <col min="11" max="11" width="12.88671875" style="25" bestFit="1" customWidth="1"/>
    <col min="12" max="12" width="18.33203125" style="25" bestFit="1" customWidth="1"/>
    <col min="13" max="13" width="5.5546875" style="25" bestFit="1" customWidth="1"/>
    <col min="14" max="14" width="7.6640625" style="25" bestFit="1" customWidth="1"/>
    <col min="15" max="16" width="9.5546875" style="25" bestFit="1" customWidth="1"/>
    <col min="17" max="17" width="11.6640625" style="25" bestFit="1" customWidth="1"/>
    <col min="18" max="18" width="9" style="25" customWidth="1"/>
    <col min="19" max="19" width="8.88671875" style="25" bestFit="1" customWidth="1"/>
    <col min="20" max="20" width="7.6640625" style="25" bestFit="1" customWidth="1"/>
    <col min="21" max="21" width="9" style="25" customWidth="1"/>
    <col min="22" max="22" width="16" style="25" customWidth="1"/>
    <col min="23" max="23" width="14.77734375" style="25" customWidth="1"/>
    <col min="24" max="16384" width="8.88671875" style="25"/>
  </cols>
  <sheetData>
    <row r="1" spans="1:23" ht="16.2" thickTop="1">
      <c r="A1" s="18" t="s">
        <v>2</v>
      </c>
      <c r="B1" s="19" t="s">
        <v>172</v>
      </c>
      <c r="F1" s="144" t="s">
        <v>232</v>
      </c>
      <c r="G1" s="145"/>
      <c r="H1" s="145"/>
      <c r="I1" s="146"/>
      <c r="K1" s="53"/>
      <c r="L1" s="59" t="str">
        <f>抽奖道具&amp;"礼包"</f>
        <v>糖果币礼包</v>
      </c>
      <c r="M1" s="60" t="s">
        <v>73</v>
      </c>
      <c r="N1" s="60" t="s">
        <v>74</v>
      </c>
      <c r="O1" s="60" t="s">
        <v>75</v>
      </c>
      <c r="P1" s="60" t="str">
        <f>抽奖道具</f>
        <v>糖果币</v>
      </c>
      <c r="Q1" s="61" t="s">
        <v>76</v>
      </c>
      <c r="S1" s="28" t="s">
        <v>85</v>
      </c>
      <c r="T1" s="29" t="s">
        <v>0</v>
      </c>
      <c r="U1" s="26"/>
      <c r="V1" s="26"/>
      <c r="W1" s="26"/>
    </row>
    <row r="2" spans="1:23">
      <c r="A2" s="7" t="s">
        <v>3</v>
      </c>
      <c r="B2" s="24" t="s">
        <v>170</v>
      </c>
      <c r="F2" s="39" t="s">
        <v>63</v>
      </c>
      <c r="G2" s="130" t="s">
        <v>61</v>
      </c>
      <c r="H2" s="130"/>
      <c r="I2" s="24" t="s">
        <v>62</v>
      </c>
      <c r="J2" s="25" t="s">
        <v>84</v>
      </c>
      <c r="K2" s="53"/>
      <c r="L2" s="39" t="str">
        <f>抽奖道具 &amp; "礼包Ⅰ"</f>
        <v>糖果币礼包Ⅰ</v>
      </c>
      <c r="M2" s="51">
        <v>30</v>
      </c>
      <c r="N2" s="51">
        <f>IFERROR(LOOKUP(M2,价格6:价格648,翡翠100:翡翠10000),0)</f>
        <v>500</v>
      </c>
      <c r="O2" s="51">
        <v>1</v>
      </c>
      <c r="P2" s="51">
        <v>10</v>
      </c>
      <c r="Q2" s="24">
        <f>P2/N2</f>
        <v>0.02</v>
      </c>
      <c r="S2" s="3">
        <v>6</v>
      </c>
      <c r="T2" s="4">
        <v>100</v>
      </c>
    </row>
    <row r="3" spans="1:23" ht="16.2" thickBot="1">
      <c r="A3" s="8" t="s">
        <v>7</v>
      </c>
      <c r="B3" s="15" t="s">
        <v>171</v>
      </c>
      <c r="F3" s="39" t="str">
        <f>普通兑换道具</f>
        <v>紫晶棒棒糖</v>
      </c>
      <c r="G3" s="130" t="s">
        <v>228</v>
      </c>
      <c r="H3" s="130"/>
      <c r="I3" s="103">
        <f>I33</f>
        <v>28.779220779220779</v>
      </c>
      <c r="L3" s="39" t="str">
        <f>抽奖道具 &amp; "礼包Ⅱ"</f>
        <v>糖果币礼包Ⅱ</v>
      </c>
      <c r="M3" s="51">
        <v>68</v>
      </c>
      <c r="N3" s="51">
        <f>IFERROR(LOOKUP(M3,价格6:价格648,翡翠100:翡翠10000),0)</f>
        <v>1000</v>
      </c>
      <c r="O3" s="51">
        <v>1</v>
      </c>
      <c r="P3" s="51">
        <v>15</v>
      </c>
      <c r="Q3" s="24">
        <f t="shared" ref="Q3:Q8" si="0">P3/N3</f>
        <v>1.4999999999999999E-2</v>
      </c>
      <c r="S3" s="7">
        <v>30</v>
      </c>
      <c r="T3" s="76">
        <v>500</v>
      </c>
      <c r="U3" s="27"/>
      <c r="V3" s="27"/>
      <c r="W3" s="27"/>
    </row>
    <row r="4" spans="1:23" ht="16.8" thickTop="1" thickBot="1">
      <c r="F4" s="39" t="str">
        <f>高级兑换道具</f>
        <v>蜜橙棒棒糖</v>
      </c>
      <c r="G4" s="153" t="s">
        <v>228</v>
      </c>
      <c r="H4" s="153"/>
      <c r="I4" s="103">
        <f>I34</f>
        <v>0.89025974025974031</v>
      </c>
      <c r="L4" s="39" t="str">
        <f>抽奖道具 &amp; "礼包Ⅲ"</f>
        <v>糖果币礼包Ⅲ</v>
      </c>
      <c r="M4" s="51">
        <v>198</v>
      </c>
      <c r="N4" s="51">
        <f>IFERROR(LOOKUP(M4,价格6:价格648,翡翠100:翡翠10000),0)</f>
        <v>3000</v>
      </c>
      <c r="O4" s="51">
        <v>1</v>
      </c>
      <c r="P4" s="51">
        <v>30</v>
      </c>
      <c r="Q4" s="24">
        <f t="shared" si="0"/>
        <v>0.01</v>
      </c>
      <c r="S4" s="7">
        <v>68</v>
      </c>
      <c r="T4" s="76">
        <v>1000</v>
      </c>
      <c r="U4" s="27"/>
    </row>
    <row r="5" spans="1:23" ht="16.8" thickTop="1" thickBot="1">
      <c r="A5" s="20" t="s">
        <v>8</v>
      </c>
      <c r="B5" s="21" t="s">
        <v>9</v>
      </c>
      <c r="C5" s="22" t="s">
        <v>10</v>
      </c>
      <c r="F5" s="57"/>
      <c r="G5" s="131"/>
      <c r="H5" s="131"/>
      <c r="I5" s="104"/>
      <c r="L5" s="39" t="str">
        <f>抽奖道具 &amp; "礼包Ⅳ"</f>
        <v>糖果币礼包Ⅳ</v>
      </c>
      <c r="M5" s="51">
        <v>328</v>
      </c>
      <c r="N5" s="51">
        <f>IFERROR(LOOKUP(M5,价格6:价格648,翡翠100:翡翠10000),0)</f>
        <v>5000</v>
      </c>
      <c r="O5" s="51">
        <v>1</v>
      </c>
      <c r="P5" s="51">
        <v>60</v>
      </c>
      <c r="Q5" s="24">
        <f t="shared" si="0"/>
        <v>1.2E-2</v>
      </c>
      <c r="S5" s="7">
        <v>98</v>
      </c>
      <c r="T5" s="76">
        <v>1500</v>
      </c>
      <c r="U5" s="27"/>
    </row>
    <row r="6" spans="1:23" ht="16.2" thickTop="1">
      <c r="A6" s="3" t="s">
        <v>11</v>
      </c>
      <c r="B6" s="1">
        <v>800</v>
      </c>
      <c r="C6" s="4">
        <v>0</v>
      </c>
      <c r="J6" s="53"/>
      <c r="K6" s="53"/>
      <c r="L6" s="39" t="str">
        <f>抽奖道具 &amp; "礼包Ⅴ"</f>
        <v>糖果币礼包Ⅴ</v>
      </c>
      <c r="M6" s="51">
        <v>648</v>
      </c>
      <c r="N6" s="51">
        <f>IFERROR(LOOKUP(M6,价格6:价格648,翡翠100:翡翠10000),0)</f>
        <v>10000</v>
      </c>
      <c r="O6" s="51">
        <v>1</v>
      </c>
      <c r="P6" s="51">
        <v>100</v>
      </c>
      <c r="Q6" s="24">
        <f t="shared" si="0"/>
        <v>0.01</v>
      </c>
      <c r="S6" s="7">
        <v>128</v>
      </c>
      <c r="T6" s="76">
        <v>2000</v>
      </c>
      <c r="U6" s="27"/>
    </row>
    <row r="7" spans="1:23" ht="16.2" thickBot="1">
      <c r="A7" s="3" t="s">
        <v>12</v>
      </c>
      <c r="B7" s="1">
        <v>3000</v>
      </c>
      <c r="C7" s="4">
        <v>2</v>
      </c>
      <c r="J7" s="53"/>
      <c r="K7" s="53"/>
      <c r="L7" s="39" t="str">
        <f>抽奖道具 &amp; "礼包Ⅵ"</f>
        <v>糖果币礼包Ⅵ</v>
      </c>
      <c r="M7" s="51">
        <v>648</v>
      </c>
      <c r="N7" s="51">
        <f>IFERROR(LOOKUP(M7,价格6:价格648,翡翠100:翡翠10000),0)</f>
        <v>10000</v>
      </c>
      <c r="O7" s="51">
        <v>1</v>
      </c>
      <c r="P7" s="51">
        <v>100</v>
      </c>
      <c r="Q7" s="24">
        <f t="shared" si="0"/>
        <v>0.01</v>
      </c>
      <c r="S7" s="7">
        <v>198</v>
      </c>
      <c r="T7" s="76">
        <v>3000</v>
      </c>
      <c r="U7" s="27"/>
    </row>
    <row r="8" spans="1:23" ht="16.8" thickTop="1" thickBot="1">
      <c r="A8" s="3" t="s">
        <v>13</v>
      </c>
      <c r="B8" s="1">
        <v>4200</v>
      </c>
      <c r="C8" s="4">
        <f>档位奖励2+7</f>
        <v>9</v>
      </c>
      <c r="F8" s="147" t="s">
        <v>173</v>
      </c>
      <c r="G8" s="148"/>
      <c r="H8" s="148"/>
      <c r="I8" s="149"/>
      <c r="K8" s="53"/>
      <c r="L8" s="57" t="str">
        <f>抽奖道具 &amp; "礼包Ⅶ"</f>
        <v>糖果币礼包Ⅶ</v>
      </c>
      <c r="M8" s="58">
        <v>648</v>
      </c>
      <c r="N8" s="58">
        <f>IFERROR(LOOKUP(M8,价格6:价格648,翡翠100:翡翠10000),0)</f>
        <v>10000</v>
      </c>
      <c r="O8" s="58">
        <v>1</v>
      </c>
      <c r="P8" s="58">
        <v>100</v>
      </c>
      <c r="Q8" s="15">
        <f t="shared" si="0"/>
        <v>0.01</v>
      </c>
      <c r="S8" s="7">
        <v>328</v>
      </c>
      <c r="T8" s="76">
        <v>5000</v>
      </c>
      <c r="U8" s="27"/>
    </row>
    <row r="9" spans="1:23" ht="16.8" thickTop="1" thickBot="1">
      <c r="A9" s="3" t="s">
        <v>14</v>
      </c>
      <c r="B9" s="1">
        <v>8300</v>
      </c>
      <c r="C9" s="4">
        <f>档位奖励3+36</f>
        <v>45</v>
      </c>
      <c r="F9" s="7"/>
      <c r="G9" s="95" t="s">
        <v>123</v>
      </c>
      <c r="H9" s="94" t="s">
        <v>124</v>
      </c>
      <c r="I9" s="76" t="s">
        <v>174</v>
      </c>
      <c r="K9" s="53"/>
      <c r="L9" s="53"/>
      <c r="M9" s="53"/>
      <c r="N9" s="53"/>
      <c r="O9" s="53"/>
      <c r="P9" s="53"/>
      <c r="S9" s="8">
        <v>648</v>
      </c>
      <c r="T9" s="77">
        <v>10000</v>
      </c>
      <c r="U9" s="27"/>
    </row>
    <row r="10" spans="1:23" ht="32.4" thickTop="1" thickBot="1">
      <c r="A10" s="5" t="s">
        <v>15</v>
      </c>
      <c r="B10" s="9">
        <v>10400</v>
      </c>
      <c r="C10" s="12">
        <f>档位奖励4+45</f>
        <v>90</v>
      </c>
      <c r="F10" s="125" t="s">
        <v>187</v>
      </c>
      <c r="G10" s="126">
        <v>1</v>
      </c>
      <c r="H10" s="127">
        <v>2.5000000000000001E-2</v>
      </c>
      <c r="I10" s="128">
        <f>G10*H10</f>
        <v>2.5000000000000001E-2</v>
      </c>
      <c r="K10" s="53"/>
      <c r="L10" s="62" t="str">
        <f>高级兑换道具&amp;"礼包"</f>
        <v>蜜橙棒棒糖礼包</v>
      </c>
      <c r="M10" s="63" t="s">
        <v>73</v>
      </c>
      <c r="N10" s="63" t="s">
        <v>74</v>
      </c>
      <c r="O10" s="63" t="s">
        <v>75</v>
      </c>
      <c r="P10" s="63" t="str">
        <f>高级兑换道具</f>
        <v>蜜橙棒棒糖</v>
      </c>
      <c r="Q10" s="64" t="s">
        <v>76</v>
      </c>
      <c r="T10" s="27"/>
      <c r="U10" s="27"/>
    </row>
    <row r="11" spans="1:23" ht="16.8" thickTop="1" thickBot="1">
      <c r="F11" s="122" t="str">
        <f>高级兑换道具</f>
        <v>蜜橙棒棒糖</v>
      </c>
      <c r="G11" s="123">
        <v>4</v>
      </c>
      <c r="H11" s="124">
        <v>0.05</v>
      </c>
      <c r="I11" s="120">
        <f t="shared" ref="I11:I14" si="1">G11*H11</f>
        <v>0.2</v>
      </c>
      <c r="K11" s="53"/>
      <c r="L11" s="39" t="str">
        <f>高级兑换道具 &amp; "礼包Ⅰ"</f>
        <v>蜜橙棒棒糖礼包Ⅰ</v>
      </c>
      <c r="M11" s="51">
        <v>68</v>
      </c>
      <c r="N11" s="51">
        <f>IFERROR(LOOKUP(M11,价格6:价格648,翡翠100:翡翠10000),0)</f>
        <v>1000</v>
      </c>
      <c r="O11" s="51">
        <v>2</v>
      </c>
      <c r="P11" s="51">
        <v>55</v>
      </c>
      <c r="Q11" s="24">
        <f>P11/N11</f>
        <v>5.5E-2</v>
      </c>
      <c r="T11" s="27"/>
      <c r="U11" s="27"/>
    </row>
    <row r="12" spans="1:23" ht="16.2" thickTop="1">
      <c r="A12" s="141" t="s">
        <v>16</v>
      </c>
      <c r="B12" s="142"/>
      <c r="C12" s="143"/>
      <c r="F12" s="117" t="str">
        <f>抽奖道具</f>
        <v>糖果币</v>
      </c>
      <c r="G12" s="118">
        <v>1</v>
      </c>
      <c r="H12" s="119">
        <v>0.25</v>
      </c>
      <c r="I12" s="120">
        <f t="shared" si="1"/>
        <v>0.25</v>
      </c>
      <c r="K12" s="53"/>
      <c r="L12" s="39" t="str">
        <f>高级兑换道具 &amp; "礼包Ⅱ"</f>
        <v>蜜橙棒棒糖礼包Ⅱ</v>
      </c>
      <c r="M12" s="51">
        <v>128</v>
      </c>
      <c r="N12" s="51">
        <f>IFERROR(LOOKUP(M12,价格6:价格648,翡翠100:翡翠10000),0)</f>
        <v>2000</v>
      </c>
      <c r="O12" s="51">
        <v>2</v>
      </c>
      <c r="P12" s="51">
        <v>110</v>
      </c>
      <c r="Q12" s="24">
        <f t="shared" ref="Q12:Q14" si="2">P12/N12</f>
        <v>5.5E-2</v>
      </c>
      <c r="T12" s="27"/>
      <c r="U12" s="27"/>
    </row>
    <row r="13" spans="1:23">
      <c r="A13" s="7" t="str">
        <f>"获得 1 " &amp; 抽奖道具</f>
        <v>获得 1 糖果币</v>
      </c>
      <c r="B13" s="94">
        <v>25</v>
      </c>
      <c r="C13" s="76" t="s">
        <v>6</v>
      </c>
      <c r="F13" s="7" t="str">
        <f>普通兑换道具</f>
        <v>紫晶棒棒糖</v>
      </c>
      <c r="G13" s="98">
        <v>50</v>
      </c>
      <c r="H13" s="99">
        <v>0.1</v>
      </c>
      <c r="I13" s="96">
        <f t="shared" si="1"/>
        <v>5</v>
      </c>
      <c r="K13" s="53"/>
      <c r="L13" s="39" t="str">
        <f>高级兑换道具 &amp; "礼包Ⅲ"</f>
        <v>蜜橙棒棒糖礼包Ⅲ</v>
      </c>
      <c r="M13" s="51">
        <v>328</v>
      </c>
      <c r="N13" s="51">
        <f>IFERROR(LOOKUP(M13,价格6:价格648,翡翠100:翡翠10000),0)</f>
        <v>5000</v>
      </c>
      <c r="O13" s="51">
        <v>2</v>
      </c>
      <c r="P13" s="51">
        <v>275</v>
      </c>
      <c r="Q13" s="24">
        <f t="shared" si="2"/>
        <v>5.5E-2</v>
      </c>
      <c r="T13" s="27"/>
      <c r="U13" s="27"/>
    </row>
    <row r="14" spans="1:23" ht="16.2" thickBot="1">
      <c r="A14" s="7" t="str">
        <f xml:space="preserve"> "获得1 " &amp; 高级兑换道具</f>
        <v>获得1 蜜橙棒棒糖</v>
      </c>
      <c r="B14" s="94">
        <v>1</v>
      </c>
      <c r="C14" s="76" t="s">
        <v>6</v>
      </c>
      <c r="F14" s="7" t="str">
        <f>普通兑换道具</f>
        <v>紫晶棒棒糖</v>
      </c>
      <c r="G14" s="98">
        <v>30</v>
      </c>
      <c r="H14" s="99">
        <v>0.2</v>
      </c>
      <c r="I14" s="96">
        <f t="shared" si="1"/>
        <v>6</v>
      </c>
      <c r="K14" s="53"/>
      <c r="L14" s="57" t="str">
        <f>高级兑换道具 &amp; "礼包Ⅳ"</f>
        <v>蜜橙棒棒糖礼包Ⅳ</v>
      </c>
      <c r="M14" s="58">
        <v>648</v>
      </c>
      <c r="N14" s="58">
        <f>IFERROR(LOOKUP(M14,价格6:价格648,翡翠100:翡翠10000),0)</f>
        <v>10000</v>
      </c>
      <c r="O14" s="58">
        <v>2</v>
      </c>
      <c r="P14" s="58">
        <v>550</v>
      </c>
      <c r="Q14" s="15">
        <f t="shared" si="2"/>
        <v>5.5E-2</v>
      </c>
      <c r="T14" s="27"/>
      <c r="U14" s="27"/>
    </row>
    <row r="15" spans="1:23" ht="16.8" thickTop="1" thickBot="1">
      <c r="A15" s="8" t="s">
        <v>231</v>
      </c>
      <c r="B15" s="129">
        <f>I35</f>
        <v>9.223593073593074</v>
      </c>
      <c r="C15" s="77" t="s">
        <v>230</v>
      </c>
      <c r="F15" s="7" t="str">
        <f>普通兑换道具</f>
        <v>紫晶棒棒糖</v>
      </c>
      <c r="G15" s="98">
        <v>20</v>
      </c>
      <c r="H15" s="99">
        <v>0.25</v>
      </c>
      <c r="I15" s="96">
        <f>G15*H15</f>
        <v>5</v>
      </c>
      <c r="K15" s="53"/>
      <c r="L15" s="51"/>
      <c r="M15" s="51"/>
      <c r="N15" s="51"/>
      <c r="O15" s="51"/>
      <c r="P15" s="51"/>
      <c r="Q15" s="51"/>
      <c r="T15" s="27"/>
      <c r="U15" s="27"/>
    </row>
    <row r="16" spans="1:23" ht="16.8" thickTop="1" thickBot="1">
      <c r="F16" s="100" t="s">
        <v>175</v>
      </c>
      <c r="G16" s="9">
        <v>36</v>
      </c>
      <c r="H16" s="101">
        <v>0.125</v>
      </c>
      <c r="I16" s="102">
        <f t="shared" ref="I16" si="3">G16*H16</f>
        <v>4.5</v>
      </c>
      <c r="J16" s="53"/>
      <c r="K16" s="53"/>
      <c r="L16" s="81" t="s">
        <v>89</v>
      </c>
      <c r="M16" s="82" t="s">
        <v>73</v>
      </c>
      <c r="N16" s="82" t="s">
        <v>74</v>
      </c>
      <c r="O16" s="82" t="s">
        <v>90</v>
      </c>
      <c r="P16" s="82" t="str">
        <f>抽奖道具</f>
        <v>糖果币</v>
      </c>
      <c r="Q16" s="83" t="str">
        <f>A21</f>
        <v>随机箱</v>
      </c>
      <c r="T16" s="27"/>
      <c r="U16" s="27"/>
    </row>
    <row r="17" spans="1:21" ht="16.8" thickTop="1" thickBot="1">
      <c r="A17" s="135" t="s">
        <v>86</v>
      </c>
      <c r="B17" s="136"/>
      <c r="C17" s="137"/>
      <c r="J17" s="53"/>
      <c r="K17" s="53"/>
      <c r="L17" s="39" t="s">
        <v>87</v>
      </c>
      <c r="M17" s="51">
        <v>0</v>
      </c>
      <c r="N17" s="51">
        <v>0</v>
      </c>
      <c r="O17" s="51">
        <v>1</v>
      </c>
      <c r="P17" s="51">
        <v>0</v>
      </c>
      <c r="Q17" s="24">
        <v>0</v>
      </c>
      <c r="T17" s="27"/>
      <c r="U17" s="27"/>
    </row>
    <row r="18" spans="1:21" ht="16.8" thickTop="1" thickBot="1">
      <c r="A18" s="3" t="str">
        <f>"1"&amp; 抽奖道具</f>
        <v>1糖果币</v>
      </c>
      <c r="B18" s="1">
        <v>200</v>
      </c>
      <c r="C18" s="4" t="s">
        <v>18</v>
      </c>
      <c r="F18" s="150" t="s">
        <v>185</v>
      </c>
      <c r="G18" s="151"/>
      <c r="H18" s="151"/>
      <c r="I18" s="152"/>
      <c r="J18" s="53"/>
      <c r="K18" s="53"/>
      <c r="L18" s="57" t="s">
        <v>88</v>
      </c>
      <c r="M18" s="58">
        <v>68</v>
      </c>
      <c r="N18" s="58">
        <v>1000</v>
      </c>
      <c r="O18" s="58">
        <v>1</v>
      </c>
      <c r="P18" s="58">
        <v>0</v>
      </c>
      <c r="Q18" s="15">
        <v>0</v>
      </c>
      <c r="T18" s="27"/>
      <c r="U18" s="27"/>
    </row>
    <row r="19" spans="1:21" ht="16.8" thickTop="1" thickBot="1">
      <c r="A19" s="5" t="s">
        <v>19</v>
      </c>
      <c r="B19" s="9">
        <v>70</v>
      </c>
      <c r="C19" s="12" t="s">
        <v>20</v>
      </c>
      <c r="F19" s="7"/>
      <c r="G19" s="95" t="s">
        <v>123</v>
      </c>
      <c r="H19" s="94" t="s">
        <v>124</v>
      </c>
      <c r="I19" s="76" t="s">
        <v>174</v>
      </c>
      <c r="J19" s="53"/>
      <c r="K19" s="53"/>
      <c r="T19" s="27"/>
      <c r="U19" s="27"/>
    </row>
    <row r="20" spans="1:21" ht="16.8" thickTop="1" thickBot="1">
      <c r="F20" s="117" t="str">
        <f>高级兑换道具</f>
        <v>蜜橙棒棒糖</v>
      </c>
      <c r="G20" s="118">
        <v>15</v>
      </c>
      <c r="H20" s="121">
        <v>2.5000000000000001E-2</v>
      </c>
      <c r="I20" s="120">
        <f>G20*H20</f>
        <v>0.375</v>
      </c>
      <c r="J20" s="53"/>
      <c r="K20" s="53"/>
      <c r="L20" s="53"/>
      <c r="M20" s="53"/>
      <c r="N20" s="53"/>
      <c r="O20" s="53"/>
      <c r="P20" s="53"/>
      <c r="T20" s="27"/>
      <c r="U20" s="27"/>
    </row>
    <row r="21" spans="1:21" ht="16.2" thickTop="1">
      <c r="A21" s="138" t="s">
        <v>21</v>
      </c>
      <c r="B21" s="139"/>
      <c r="C21" s="139"/>
      <c r="D21" s="140"/>
      <c r="F21" s="122" t="str">
        <f>高级兑换道具</f>
        <v>蜜橙棒棒糖</v>
      </c>
      <c r="G21" s="123">
        <v>8</v>
      </c>
      <c r="H21" s="124">
        <v>0.1</v>
      </c>
      <c r="I21" s="120">
        <f t="shared" ref="I21:I26" si="4">G21*H21</f>
        <v>0.8</v>
      </c>
      <c r="J21" s="53"/>
      <c r="K21" s="53"/>
      <c r="T21" s="27"/>
      <c r="U21" s="27"/>
    </row>
    <row r="22" spans="1:21">
      <c r="A22" s="3" t="s">
        <v>4</v>
      </c>
      <c r="B22" s="1" t="s">
        <v>5</v>
      </c>
      <c r="C22" s="1" t="s">
        <v>22</v>
      </c>
      <c r="D22" s="4" t="s">
        <v>23</v>
      </c>
      <c r="F22" s="117" t="str">
        <f>高级兑换道具</f>
        <v>蜜橙棒棒糖</v>
      </c>
      <c r="G22" s="118">
        <v>5</v>
      </c>
      <c r="H22" s="119">
        <v>0.1</v>
      </c>
      <c r="I22" s="120">
        <f t="shared" si="4"/>
        <v>0.5</v>
      </c>
      <c r="J22" s="53"/>
      <c r="K22" s="53"/>
      <c r="T22" s="27"/>
      <c r="U22" s="27"/>
    </row>
    <row r="23" spans="1:21">
      <c r="A23" s="3">
        <v>10</v>
      </c>
      <c r="B23" s="2">
        <v>0.95</v>
      </c>
      <c r="C23" s="1">
        <f>B23*A23</f>
        <v>9.5</v>
      </c>
      <c r="D23" s="4">
        <f>C23*积分规则2</f>
        <v>9.5</v>
      </c>
      <c r="F23" s="7" t="str">
        <f>普通兑换道具</f>
        <v>紫晶棒棒糖</v>
      </c>
      <c r="G23" s="98">
        <v>50</v>
      </c>
      <c r="H23" s="99">
        <v>0.4</v>
      </c>
      <c r="I23" s="96">
        <f t="shared" si="4"/>
        <v>20</v>
      </c>
      <c r="J23" s="53"/>
      <c r="K23" s="53"/>
      <c r="T23" s="27"/>
      <c r="U23" s="27"/>
    </row>
    <row r="24" spans="1:21">
      <c r="A24" s="3">
        <v>15</v>
      </c>
      <c r="B24" s="16">
        <v>4.9000000000000002E-2</v>
      </c>
      <c r="C24" s="1">
        <f t="shared" ref="C24:C25" si="5">B24*A24</f>
        <v>0.73499999999999999</v>
      </c>
      <c r="D24" s="4">
        <f>C24*积分规则2</f>
        <v>0.73499999999999999</v>
      </c>
      <c r="F24" s="7" t="s">
        <v>187</v>
      </c>
      <c r="G24" s="98">
        <v>1</v>
      </c>
      <c r="H24" s="99">
        <v>0.05</v>
      </c>
      <c r="I24" s="96">
        <f t="shared" si="4"/>
        <v>0.05</v>
      </c>
      <c r="J24" s="53"/>
      <c r="K24" s="53"/>
      <c r="L24" s="53"/>
      <c r="M24" s="53"/>
      <c r="N24" s="53"/>
      <c r="O24" s="53"/>
      <c r="P24" s="53"/>
    </row>
    <row r="25" spans="1:21">
      <c r="A25" s="3">
        <v>20</v>
      </c>
      <c r="B25" s="17">
        <v>1E-3</v>
      </c>
      <c r="C25" s="1">
        <f t="shared" si="5"/>
        <v>0.02</v>
      </c>
      <c r="D25" s="4">
        <f>C25*积分规则2</f>
        <v>0.02</v>
      </c>
      <c r="F25" s="7" t="s">
        <v>175</v>
      </c>
      <c r="G25" s="98">
        <v>66</v>
      </c>
      <c r="H25" s="99">
        <v>0.3</v>
      </c>
      <c r="I25" s="96">
        <f t="shared" si="4"/>
        <v>19.8</v>
      </c>
      <c r="J25" s="53"/>
      <c r="K25" s="53"/>
      <c r="L25" s="53"/>
      <c r="M25" s="53"/>
      <c r="N25" s="53"/>
      <c r="O25" s="53"/>
      <c r="P25" s="53"/>
    </row>
    <row r="26" spans="1:21" ht="16.2" thickBot="1">
      <c r="A26" s="5"/>
      <c r="B26" s="10" t="s">
        <v>1</v>
      </c>
      <c r="C26" s="10">
        <f>SUM(C23:C25)</f>
        <v>10.254999999999999</v>
      </c>
      <c r="D26" s="11">
        <f>C26*积分规则2</f>
        <v>10.254999999999999</v>
      </c>
      <c r="F26" s="8" t="s">
        <v>188</v>
      </c>
      <c r="G26" s="9">
        <v>20</v>
      </c>
      <c r="H26" s="101">
        <v>2.5000000000000001E-2</v>
      </c>
      <c r="I26" s="102">
        <f t="shared" si="4"/>
        <v>0.5</v>
      </c>
      <c r="K26" s="53"/>
      <c r="L26" s="53"/>
      <c r="M26" s="53"/>
      <c r="N26" s="53"/>
      <c r="O26" s="53"/>
      <c r="P26" s="53"/>
    </row>
    <row r="27" spans="1:21" ht="16.8" thickTop="1" thickBot="1"/>
    <row r="28" spans="1:21" ht="16.2" thickTop="1">
      <c r="A28" s="132" t="s">
        <v>125</v>
      </c>
      <c r="B28" s="133"/>
      <c r="C28" s="134"/>
      <c r="F28" s="144" t="s">
        <v>64</v>
      </c>
      <c r="G28" s="145"/>
      <c r="H28" s="145"/>
      <c r="I28" s="146"/>
    </row>
    <row r="29" spans="1:21">
      <c r="A29" s="39" t="s">
        <v>105</v>
      </c>
      <c r="B29" s="51">
        <v>26</v>
      </c>
      <c r="C29" s="24" t="str">
        <f>抽奖道具</f>
        <v>糖果币</v>
      </c>
      <c r="F29" s="39" t="s">
        <v>63</v>
      </c>
      <c r="G29" s="130" t="s">
        <v>61</v>
      </c>
      <c r="H29" s="130"/>
      <c r="I29" s="24" t="s">
        <v>62</v>
      </c>
    </row>
    <row r="30" spans="1:21">
      <c r="A30" s="39" t="s">
        <v>104</v>
      </c>
      <c r="B30" s="51">
        <v>0</v>
      </c>
      <c r="C30" s="24" t="str">
        <f>抽奖道具</f>
        <v>糖果币</v>
      </c>
      <c r="F30" s="39" t="s">
        <v>176</v>
      </c>
      <c r="G30" s="130" t="s">
        <v>177</v>
      </c>
      <c r="H30" s="130"/>
      <c r="I30" s="103">
        <f>(5+0.025*15)/(1-0.25)</f>
        <v>7.166666666666667</v>
      </c>
    </row>
    <row r="31" spans="1:21" ht="31.2">
      <c r="A31" s="39" t="s">
        <v>39</v>
      </c>
      <c r="B31" s="51">
        <v>3</v>
      </c>
      <c r="C31" s="24" t="str">
        <f>抽奖道具</f>
        <v>糖果币</v>
      </c>
      <c r="F31" s="39" t="s">
        <v>178</v>
      </c>
      <c r="G31" s="130" t="s">
        <v>179</v>
      </c>
      <c r="H31" s="130"/>
      <c r="I31" s="103">
        <f>I30/(20-0.05*15)</f>
        <v>0.37229437229437229</v>
      </c>
    </row>
    <row r="32" spans="1:21" ht="16.2" thickBot="1">
      <c r="A32" s="57" t="s">
        <v>229</v>
      </c>
      <c r="B32" s="58">
        <v>30</v>
      </c>
      <c r="C32" s="15" t="str">
        <f>高级兑换道具</f>
        <v>蜜橙棒棒糖</v>
      </c>
      <c r="F32" s="39" t="s">
        <v>187</v>
      </c>
      <c r="G32" s="130" t="s">
        <v>180</v>
      </c>
      <c r="H32" s="130"/>
      <c r="I32" s="103">
        <f>0.025/0.75+0.05*I31</f>
        <v>5.1948051948051951E-2</v>
      </c>
    </row>
    <row r="33" spans="6:9" ht="16.2" thickTop="1">
      <c r="F33" s="39" t="str">
        <f>普通兑换道具</f>
        <v>紫晶棒棒糖</v>
      </c>
      <c r="G33" s="130" t="s">
        <v>181</v>
      </c>
      <c r="H33" s="130"/>
      <c r="I33" s="103">
        <f>(5+6+5)/0.75+20*I31</f>
        <v>28.779220779220779</v>
      </c>
    </row>
    <row r="34" spans="6:9">
      <c r="F34" s="39" t="str">
        <f>高级兑换道具</f>
        <v>蜜橙棒棒糖</v>
      </c>
      <c r="G34" s="130" t="s">
        <v>182</v>
      </c>
      <c r="H34" s="130"/>
      <c r="I34" s="103">
        <f>0.2/0.75+(0.375+0.8+0.5)*I31</f>
        <v>0.89025974025974031</v>
      </c>
    </row>
    <row r="35" spans="6:9" ht="16.2" thickBot="1">
      <c r="F35" s="57" t="s">
        <v>183</v>
      </c>
      <c r="G35" s="131" t="s">
        <v>184</v>
      </c>
      <c r="H35" s="131"/>
      <c r="I35" s="104">
        <f>0.25*25/0.75+高级兑换道具抽奖期望*1</f>
        <v>9.223593073593074</v>
      </c>
    </row>
    <row r="36" spans="6:9" ht="16.2" thickTop="1"/>
    <row r="43" spans="6:9">
      <c r="H43" s="97"/>
    </row>
  </sheetData>
  <mergeCells count="19">
    <mergeCell ref="F8:I8"/>
    <mergeCell ref="F18:I18"/>
    <mergeCell ref="F1:I1"/>
    <mergeCell ref="G2:H2"/>
    <mergeCell ref="G3:H3"/>
    <mergeCell ref="G4:H4"/>
    <mergeCell ref="G5:H5"/>
    <mergeCell ref="A28:C28"/>
    <mergeCell ref="A17:C17"/>
    <mergeCell ref="A21:D21"/>
    <mergeCell ref="A12:C12"/>
    <mergeCell ref="F28:I28"/>
    <mergeCell ref="G34:H34"/>
    <mergeCell ref="G35:H35"/>
    <mergeCell ref="G29:H29"/>
    <mergeCell ref="G30:H30"/>
    <mergeCell ref="G31:H31"/>
    <mergeCell ref="G32:H32"/>
    <mergeCell ref="G33:H33"/>
  </mergeCells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1:T81"/>
  <sheetViews>
    <sheetView zoomScaleNormal="100" workbookViewId="0">
      <selection activeCell="C8" sqref="C8"/>
    </sheetView>
  </sheetViews>
  <sheetFormatPr defaultRowHeight="15.6"/>
  <cols>
    <col min="1" max="1" width="3.77734375" style="1" customWidth="1"/>
    <col min="2" max="2" width="14.88671875" style="1" bestFit="1" customWidth="1"/>
    <col min="3" max="16" width="9.5546875" style="1" bestFit="1" customWidth="1"/>
    <col min="17" max="17" width="7.77734375" style="1" customWidth="1"/>
    <col min="18" max="18" width="21.6640625" style="1" customWidth="1"/>
    <col min="19" max="19" width="9.88671875" style="1" customWidth="1"/>
    <col min="20" max="20" width="11" style="1" customWidth="1"/>
    <col min="21" max="21" width="14.6640625" style="1" customWidth="1"/>
    <col min="22" max="23" width="8.88671875" style="1"/>
    <col min="24" max="24" width="10.6640625" style="1" customWidth="1"/>
    <col min="25" max="16384" width="8.88671875" style="1"/>
  </cols>
  <sheetData>
    <row r="1" spans="2:20" ht="16.2" thickBot="1">
      <c r="R1" s="1" t="s">
        <v>102</v>
      </c>
      <c r="S1" s="1" t="s">
        <v>114</v>
      </c>
    </row>
    <row r="2" spans="2:20" ht="28.2" customHeight="1" thickTop="1" thickBot="1">
      <c r="B2" s="168" t="s">
        <v>191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70"/>
      <c r="R2" s="116" t="s">
        <v>101</v>
      </c>
    </row>
    <row r="3" spans="2:20" ht="24" thickTop="1">
      <c r="B3" s="181" t="s">
        <v>78</v>
      </c>
      <c r="C3" s="189" t="str">
        <f>SUM(C10,E10,G10,I10,K10,M10,O10)*钻石购买 &amp;"钻石"</f>
        <v>98000钻石</v>
      </c>
      <c r="D3" s="190"/>
      <c r="E3" s="190"/>
      <c r="F3" s="190"/>
      <c r="G3" s="190"/>
      <c r="H3" s="190"/>
      <c r="I3" s="186" t="str">
        <f>SUMPRODUCT(D31:D37+F31:F37+H31:H37+J31:J37+L31:L37+N31:N37+P31:P37,抽奖道具礼包价格)
+SUMPRODUCT(D39:D42+F39:F42+H39:H42+J39:J42+L39:L42+N39:N42+P39:P42,高级兑换道具礼包价格)
+SUM(D44,F44,H44,J44,L44,N44,P44)*氪金基金价格 &amp;"元"</f>
        <v>0元</v>
      </c>
      <c r="J3" s="186"/>
      <c r="K3" s="186"/>
      <c r="L3" s="186"/>
      <c r="M3" s="187" t="str">
        <f>SUMPRODUCT(D31:D37+F31:F37+H31:H37+J31:J37+L31:L37+N31:N37+P31:P37,抽奖道具礼包翡翠)
+SUMPRODUCT(D39:D42+F39:F42+H39:H42+J39:J42+L39:L42+N39:N42+P39:P42,高级兑换道具礼包翡翠)
+SUM(D44,F44,H44,J44,L44,N44,P44)*氪金基金翡翠 &amp; "翡翠"</f>
        <v>0翡翠</v>
      </c>
      <c r="N3" s="187"/>
      <c r="O3" s="187"/>
      <c r="P3" s="188"/>
    </row>
    <row r="4" spans="2:20" ht="21" thickBot="1">
      <c r="B4" s="182"/>
      <c r="C4" s="183" t="str">
        <f>"最终收益："&amp;ROUNDDOWN(O29,0)&amp;B29&amp;"+"&amp;ROUNDDOWN(O28,0)&amp;B28</f>
        <v>最终收益：1139蜜橙棒棒糖+19809紫晶棒棒糖</v>
      </c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5"/>
    </row>
    <row r="5" spans="2:20" ht="21.6" thickTop="1" thickBot="1">
      <c r="B5" s="30" t="s">
        <v>93</v>
      </c>
      <c r="C5" s="178" t="s">
        <v>206</v>
      </c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80"/>
      <c r="R5" s="116" t="s">
        <v>103</v>
      </c>
    </row>
    <row r="6" spans="2:20" ht="16.8" thickTop="1" thickBot="1">
      <c r="B6" s="66" t="s">
        <v>77</v>
      </c>
      <c r="C6" s="191" t="s">
        <v>24</v>
      </c>
      <c r="D6" s="192"/>
      <c r="E6" s="191" t="s">
        <v>25</v>
      </c>
      <c r="F6" s="192"/>
      <c r="G6" s="191" t="s">
        <v>26</v>
      </c>
      <c r="H6" s="192"/>
      <c r="I6" s="191" t="s">
        <v>27</v>
      </c>
      <c r="J6" s="192"/>
      <c r="K6" s="191" t="s">
        <v>28</v>
      </c>
      <c r="L6" s="192"/>
      <c r="M6" s="191" t="s">
        <v>29</v>
      </c>
      <c r="N6" s="192"/>
      <c r="O6" s="191" t="s">
        <v>30</v>
      </c>
      <c r="P6" s="192"/>
      <c r="R6" s="6"/>
      <c r="S6" s="23"/>
      <c r="T6" s="23"/>
    </row>
    <row r="7" spans="2:20" ht="16.8" thickTop="1" thickBot="1">
      <c r="B7" s="13" t="s">
        <v>79</v>
      </c>
      <c r="C7" s="67" t="str">
        <f>抽奖道具</f>
        <v>糖果币</v>
      </c>
      <c r="D7" s="68" t="s">
        <v>6</v>
      </c>
      <c r="E7" s="67" t="str">
        <f>抽奖道具</f>
        <v>糖果币</v>
      </c>
      <c r="F7" s="68" t="s">
        <v>6</v>
      </c>
      <c r="G7" s="67" t="str">
        <f>抽奖道具</f>
        <v>糖果币</v>
      </c>
      <c r="H7" s="68" t="s">
        <v>6</v>
      </c>
      <c r="I7" s="67" t="str">
        <f>抽奖道具</f>
        <v>糖果币</v>
      </c>
      <c r="J7" s="68" t="s">
        <v>6</v>
      </c>
      <c r="K7" s="67" t="str">
        <f>抽奖道具</f>
        <v>糖果币</v>
      </c>
      <c r="L7" s="68" t="s">
        <v>6</v>
      </c>
      <c r="M7" s="67" t="str">
        <f>抽奖道具</f>
        <v>糖果币</v>
      </c>
      <c r="N7" s="68" t="s">
        <v>6</v>
      </c>
      <c r="O7" s="67" t="str">
        <f>抽奖道具</f>
        <v>糖果币</v>
      </c>
      <c r="P7" s="68" t="s">
        <v>6</v>
      </c>
      <c r="R7" s="6"/>
      <c r="S7" s="23"/>
      <c r="T7" s="23"/>
    </row>
    <row r="8" spans="2:20" ht="16.2" thickTop="1">
      <c r="B8" s="33" t="s">
        <v>39</v>
      </c>
      <c r="C8" s="3">
        <f>首次登录抽奖道具数量</f>
        <v>3</v>
      </c>
      <c r="D8" s="4">
        <f t="shared" ref="D8:D16" si="0">C8*积分规则1</f>
        <v>75</v>
      </c>
      <c r="E8" s="3"/>
      <c r="F8" s="4">
        <f t="shared" ref="F8:F16" si="1">E8*积分规则1</f>
        <v>0</v>
      </c>
      <c r="G8" s="3"/>
      <c r="H8" s="4">
        <f t="shared" ref="H8:H16" si="2">G8*积分规则1</f>
        <v>0</v>
      </c>
      <c r="I8" s="3"/>
      <c r="J8" s="4">
        <f t="shared" ref="J8:J16" si="3">I8*积分规则1</f>
        <v>0</v>
      </c>
      <c r="K8" s="3"/>
      <c r="L8" s="4">
        <f t="shared" ref="L8:L16" si="4">K8*积分规则1</f>
        <v>0</v>
      </c>
      <c r="M8" s="3"/>
      <c r="N8" s="4">
        <f t="shared" ref="N8:N16" si="5">M8*积分规则1</f>
        <v>0</v>
      </c>
      <c r="O8" s="3"/>
      <c r="P8" s="4">
        <f t="shared" ref="P8:P16" si="6">O8*积分规则1</f>
        <v>0</v>
      </c>
      <c r="R8" s="6"/>
      <c r="S8" s="23"/>
      <c r="T8" s="23"/>
    </row>
    <row r="9" spans="2:20" ht="16.2" thickBot="1">
      <c r="B9" s="13" t="s">
        <v>31</v>
      </c>
      <c r="C9" s="3">
        <f>每日任务抽奖道具数量</f>
        <v>26</v>
      </c>
      <c r="D9" s="4">
        <f t="shared" si="0"/>
        <v>650</v>
      </c>
      <c r="E9" s="3">
        <f>每日任务抽奖道具数量</f>
        <v>26</v>
      </c>
      <c r="F9" s="4">
        <f t="shared" si="1"/>
        <v>650</v>
      </c>
      <c r="G9" s="3">
        <f>每日任务抽奖道具数量</f>
        <v>26</v>
      </c>
      <c r="H9" s="4">
        <f t="shared" si="2"/>
        <v>650</v>
      </c>
      <c r="I9" s="3">
        <f>每日任务抽奖道具数量</f>
        <v>26</v>
      </c>
      <c r="J9" s="4">
        <f t="shared" si="3"/>
        <v>650</v>
      </c>
      <c r="K9" s="3">
        <f>每日任务抽奖道具数量</f>
        <v>26</v>
      </c>
      <c r="L9" s="4">
        <f t="shared" si="4"/>
        <v>650</v>
      </c>
      <c r="M9" s="3">
        <f>每日任务抽奖道具数量</f>
        <v>26</v>
      </c>
      <c r="N9" s="4">
        <f t="shared" si="5"/>
        <v>650</v>
      </c>
      <c r="O9" s="3">
        <f>每日任务抽奖道具数量</f>
        <v>26</v>
      </c>
      <c r="P9" s="4">
        <f t="shared" si="6"/>
        <v>650</v>
      </c>
    </row>
    <row r="10" spans="2:20" ht="16.8" thickTop="1" thickBot="1">
      <c r="B10" s="14" t="s">
        <v>17</v>
      </c>
      <c r="C10" s="3">
        <v>70</v>
      </c>
      <c r="D10" s="4">
        <f t="shared" si="0"/>
        <v>1750</v>
      </c>
      <c r="E10" s="3">
        <v>70</v>
      </c>
      <c r="F10" s="4">
        <f t="shared" si="1"/>
        <v>1750</v>
      </c>
      <c r="G10" s="3">
        <v>70</v>
      </c>
      <c r="H10" s="4">
        <f t="shared" si="2"/>
        <v>1750</v>
      </c>
      <c r="I10" s="3">
        <v>70</v>
      </c>
      <c r="J10" s="4">
        <f t="shared" si="3"/>
        <v>1750</v>
      </c>
      <c r="K10" s="3">
        <v>70</v>
      </c>
      <c r="L10" s="4">
        <f t="shared" si="4"/>
        <v>1750</v>
      </c>
      <c r="M10" s="3">
        <v>70</v>
      </c>
      <c r="N10" s="4">
        <f t="shared" si="5"/>
        <v>1750</v>
      </c>
      <c r="O10" s="3">
        <v>70</v>
      </c>
      <c r="P10" s="4">
        <f t="shared" si="6"/>
        <v>1750</v>
      </c>
      <c r="R10" s="116" t="s">
        <v>107</v>
      </c>
    </row>
    <row r="11" spans="2:20" ht="16.8" thickTop="1" thickBot="1">
      <c r="B11" s="35" t="s">
        <v>35</v>
      </c>
      <c r="C11" s="3">
        <f>D43*免费基金抽奖道具</f>
        <v>0</v>
      </c>
      <c r="D11" s="4">
        <f t="shared" si="0"/>
        <v>0</v>
      </c>
      <c r="E11" s="3">
        <f>F43*免费基金抽奖道具</f>
        <v>0</v>
      </c>
      <c r="F11" s="4">
        <f t="shared" si="1"/>
        <v>0</v>
      </c>
      <c r="G11" s="3">
        <f>H43*免费基金抽奖道具</f>
        <v>0</v>
      </c>
      <c r="H11" s="4">
        <f t="shared" si="2"/>
        <v>0</v>
      </c>
      <c r="I11" s="3">
        <f>J43*免费基金抽奖道具</f>
        <v>0</v>
      </c>
      <c r="J11" s="4">
        <f t="shared" si="3"/>
        <v>0</v>
      </c>
      <c r="K11" s="3">
        <f>L43*免费基金抽奖道具</f>
        <v>0</v>
      </c>
      <c r="L11" s="4">
        <f t="shared" si="4"/>
        <v>0</v>
      </c>
      <c r="M11" s="3">
        <f>N43*免费基金抽奖道具</f>
        <v>0</v>
      </c>
      <c r="N11" s="4">
        <f t="shared" si="5"/>
        <v>0</v>
      </c>
      <c r="O11" s="3">
        <f>P43*免费基金抽奖道具</f>
        <v>0</v>
      </c>
      <c r="P11" s="4">
        <f t="shared" si="6"/>
        <v>0</v>
      </c>
    </row>
    <row r="12" spans="2:20" ht="16.2" thickTop="1">
      <c r="B12" s="13" t="s">
        <v>36</v>
      </c>
      <c r="C12" s="3">
        <v>5</v>
      </c>
      <c r="D12" s="4">
        <f t="shared" si="0"/>
        <v>125</v>
      </c>
      <c r="E12" s="3">
        <v>5</v>
      </c>
      <c r="F12" s="4">
        <f t="shared" si="1"/>
        <v>125</v>
      </c>
      <c r="G12" s="3">
        <v>5</v>
      </c>
      <c r="H12" s="4">
        <f t="shared" si="2"/>
        <v>125</v>
      </c>
      <c r="I12" s="3">
        <v>5</v>
      </c>
      <c r="J12" s="4">
        <f t="shared" si="3"/>
        <v>125</v>
      </c>
      <c r="K12" s="3">
        <v>5</v>
      </c>
      <c r="L12" s="4">
        <f t="shared" si="4"/>
        <v>125</v>
      </c>
      <c r="M12" s="3">
        <v>5</v>
      </c>
      <c r="N12" s="4">
        <f t="shared" si="5"/>
        <v>125</v>
      </c>
      <c r="O12" s="3"/>
      <c r="P12" s="4">
        <f t="shared" si="6"/>
        <v>0</v>
      </c>
    </row>
    <row r="13" spans="2:20">
      <c r="B13" s="3" t="s">
        <v>42</v>
      </c>
      <c r="C13" s="3">
        <f>每日广告抽奖道具数量</f>
        <v>0</v>
      </c>
      <c r="D13" s="4">
        <f t="shared" ref="D13:P13" si="7">C13*积分规则1</f>
        <v>0</v>
      </c>
      <c r="E13" s="3">
        <f>每日广告抽奖道具数量</f>
        <v>0</v>
      </c>
      <c r="F13" s="4">
        <f t="shared" si="7"/>
        <v>0</v>
      </c>
      <c r="G13" s="3">
        <f>每日广告抽奖道具数量</f>
        <v>0</v>
      </c>
      <c r="H13" s="4">
        <f t="shared" si="7"/>
        <v>0</v>
      </c>
      <c r="I13" s="3">
        <f>每日广告抽奖道具数量</f>
        <v>0</v>
      </c>
      <c r="J13" s="4">
        <f t="shared" si="7"/>
        <v>0</v>
      </c>
      <c r="K13" s="3">
        <f>每日广告抽奖道具数量</f>
        <v>0</v>
      </c>
      <c r="L13" s="4">
        <f t="shared" si="7"/>
        <v>0</v>
      </c>
      <c r="M13" s="3">
        <f>每日广告抽奖道具数量</f>
        <v>0</v>
      </c>
      <c r="N13" s="4">
        <f t="shared" si="7"/>
        <v>0</v>
      </c>
      <c r="O13" s="3">
        <f>每日广告抽奖道具数量</f>
        <v>0</v>
      </c>
      <c r="P13" s="4">
        <f t="shared" si="7"/>
        <v>0</v>
      </c>
    </row>
    <row r="14" spans="2:20" ht="16.2" thickBot="1">
      <c r="B14" s="34" t="s">
        <v>65</v>
      </c>
      <c r="C14" s="3">
        <v>0</v>
      </c>
      <c r="D14" s="4">
        <f>C14*积分规则1</f>
        <v>0</v>
      </c>
      <c r="E14" s="3">
        <v>0</v>
      </c>
      <c r="F14" s="4">
        <f>E14*积分规则1</f>
        <v>0</v>
      </c>
      <c r="G14" s="3">
        <v>0</v>
      </c>
      <c r="H14" s="4">
        <f>G14*积分规则1</f>
        <v>0</v>
      </c>
      <c r="I14" s="3">
        <v>0</v>
      </c>
      <c r="J14" s="4">
        <f>I14*积分规则1</f>
        <v>0</v>
      </c>
      <c r="K14" s="3">
        <v>0</v>
      </c>
      <c r="L14" s="4">
        <f>K14*积分规则1</f>
        <v>0</v>
      </c>
      <c r="M14" s="3">
        <v>0</v>
      </c>
      <c r="N14" s="4">
        <f>M14*积分规则1</f>
        <v>0</v>
      </c>
      <c r="O14" s="3">
        <v>0</v>
      </c>
      <c r="P14" s="4">
        <f>O14*积分规则1</f>
        <v>0</v>
      </c>
    </row>
    <row r="15" spans="2:20" ht="16.2" thickTop="1">
      <c r="B15" s="69" t="s">
        <v>37</v>
      </c>
      <c r="C15" s="3">
        <f>SUMPRODUCT(D31:D37,抽奖道具礼包道具数)</f>
        <v>0</v>
      </c>
      <c r="D15" s="4">
        <f t="shared" si="0"/>
        <v>0</v>
      </c>
      <c r="E15" s="3">
        <f>SUM(F31*抽奖道具礼包1,F32*抽奖道具礼包2,F33*抽奖道具礼包3,F34*抽奖道具礼包4,F35*抽奖道具礼包5,F36*抽奖道具礼包6,F37*抽奖道具礼包7)</f>
        <v>0</v>
      </c>
      <c r="F15" s="4">
        <f t="shared" si="1"/>
        <v>0</v>
      </c>
      <c r="G15" s="3">
        <f>SUM(H31*抽奖道具礼包1,H32*抽奖道具礼包2,H33*抽奖道具礼包3,H34*抽奖道具礼包4,H35*抽奖道具礼包5,H36*抽奖道具礼包6,H37*抽奖道具礼包7)</f>
        <v>0</v>
      </c>
      <c r="H15" s="4">
        <f t="shared" si="2"/>
        <v>0</v>
      </c>
      <c r="I15" s="3">
        <f>SUM(J31*抽奖道具礼包1,J32*抽奖道具礼包2,J33*抽奖道具礼包3,J34*抽奖道具礼包4,J35*抽奖道具礼包5,J36*抽奖道具礼包6,J37*抽奖道具礼包7)</f>
        <v>0</v>
      </c>
      <c r="J15" s="4">
        <f t="shared" si="3"/>
        <v>0</v>
      </c>
      <c r="K15" s="3">
        <f>SUM(L31*抽奖道具礼包1,L32*抽奖道具礼包2,L33*抽奖道具礼包3,L34*抽奖道具礼包4,L35*抽奖道具礼包5,L36*抽奖道具礼包6,L37*抽奖道具礼包7)</f>
        <v>0</v>
      </c>
      <c r="L15" s="4">
        <f t="shared" si="4"/>
        <v>0</v>
      </c>
      <c r="M15" s="3">
        <f>SUM(N31*抽奖道具礼包1,N32*抽奖道具礼包2,N33*抽奖道具礼包3,N34*抽奖道具礼包4,N35*抽奖道具礼包5,N36*抽奖道具礼包6,N37*抽奖道具礼包7)</f>
        <v>0</v>
      </c>
      <c r="N15" s="4">
        <f t="shared" si="5"/>
        <v>0</v>
      </c>
      <c r="O15" s="3">
        <f>SUM(P31*抽奖道具礼包1,P32*抽奖道具礼包2,P33*抽奖道具礼包3,P34*抽奖道具礼包4,P35*抽奖道具礼包5,P36*抽奖道具礼包6,P37*抽奖道具礼包7)</f>
        <v>0</v>
      </c>
      <c r="P15" s="4">
        <f t="shared" si="6"/>
        <v>0</v>
      </c>
    </row>
    <row r="16" spans="2:20" ht="16.2" thickBot="1">
      <c r="B16" s="50" t="s">
        <v>38</v>
      </c>
      <c r="C16" s="3">
        <f>D44*氪金基金抽奖道具</f>
        <v>0</v>
      </c>
      <c r="D16" s="4">
        <f t="shared" si="0"/>
        <v>0</v>
      </c>
      <c r="E16" s="3">
        <f>F44*氪金基金抽奖道具</f>
        <v>0</v>
      </c>
      <c r="F16" s="4">
        <f t="shared" si="1"/>
        <v>0</v>
      </c>
      <c r="G16" s="3">
        <f>H44*氪金基金抽奖道具</f>
        <v>0</v>
      </c>
      <c r="H16" s="4">
        <f t="shared" si="2"/>
        <v>0</v>
      </c>
      <c r="I16" s="3">
        <f>J44*氪金基金抽奖道具</f>
        <v>0</v>
      </c>
      <c r="J16" s="4">
        <f t="shared" si="3"/>
        <v>0</v>
      </c>
      <c r="K16" s="3">
        <f>L44*氪金基金抽奖道具</f>
        <v>0</v>
      </c>
      <c r="L16" s="4">
        <f t="shared" si="4"/>
        <v>0</v>
      </c>
      <c r="M16" s="3">
        <f>N44*氪金基金抽奖道具</f>
        <v>0</v>
      </c>
      <c r="N16" s="4">
        <f t="shared" si="5"/>
        <v>0</v>
      </c>
      <c r="O16" s="3">
        <f>P44*氪金基金抽奖道具</f>
        <v>0</v>
      </c>
      <c r="P16" s="4">
        <f t="shared" si="6"/>
        <v>0</v>
      </c>
    </row>
    <row r="17" spans="2:19" ht="16.8" thickTop="1" thickBot="1">
      <c r="B17" s="40" t="str">
        <f>"使用"&amp;抽奖道具</f>
        <v>使用糖果币</v>
      </c>
      <c r="C17" s="3">
        <v>0</v>
      </c>
      <c r="D17" s="4">
        <f>C17*积分规则3</f>
        <v>0</v>
      </c>
      <c r="E17" s="3">
        <v>0</v>
      </c>
      <c r="F17" s="4">
        <f>E17*积分规则3</f>
        <v>0</v>
      </c>
      <c r="G17" s="3">
        <v>0</v>
      </c>
      <c r="H17" s="4">
        <f>G17*积分规则3</f>
        <v>0</v>
      </c>
      <c r="I17" s="3">
        <v>0</v>
      </c>
      <c r="J17" s="4">
        <f>I17*积分规则3</f>
        <v>0</v>
      </c>
      <c r="K17" s="3">
        <v>0</v>
      </c>
      <c r="L17" s="4">
        <f>K17*积分规则3</f>
        <v>0</v>
      </c>
      <c r="M17" s="3">
        <v>52</v>
      </c>
      <c r="N17" s="4">
        <f>M17*积分规则3</f>
        <v>479.62683982683984</v>
      </c>
      <c r="O17" s="3">
        <v>653</v>
      </c>
      <c r="P17" s="4">
        <f>O17*积分规则3</f>
        <v>6023.0062770562772</v>
      </c>
      <c r="R17" s="91" t="s">
        <v>106</v>
      </c>
    </row>
    <row r="18" spans="2:19" ht="16.8" thickTop="1" thickBot="1">
      <c r="B18" s="36" t="str">
        <f>"剩余"&amp;抽奖道具</f>
        <v>剩余糖果币</v>
      </c>
      <c r="C18" s="3">
        <f>C26-C17</f>
        <v>104</v>
      </c>
      <c r="D18" s="80">
        <f>C18*积分规则3</f>
        <v>959.25367965367968</v>
      </c>
      <c r="E18" s="3">
        <f>C18+SUM(E8:E16)-E17</f>
        <v>205</v>
      </c>
      <c r="F18" s="80">
        <f>E18*积分规则3</f>
        <v>1890.8365800865802</v>
      </c>
      <c r="G18" s="3">
        <f>E18+SUM(G8:G16)-G17</f>
        <v>306</v>
      </c>
      <c r="H18" s="80">
        <f>G18*积分规则3</f>
        <v>2822.4194805194807</v>
      </c>
      <c r="I18" s="3">
        <f>G18+SUM(I8:I16)-I17</f>
        <v>407</v>
      </c>
      <c r="J18" s="80">
        <f>I18*积分规则3</f>
        <v>3754.0023809523809</v>
      </c>
      <c r="K18" s="3">
        <f>I18+SUM(K8:K16)-K17</f>
        <v>508</v>
      </c>
      <c r="L18" s="80">
        <f>K18*积分规则3</f>
        <v>4685.5852813852816</v>
      </c>
      <c r="M18" s="3">
        <f>K18+SUM(M8:M16)-M17</f>
        <v>557</v>
      </c>
      <c r="N18" s="80">
        <f>M18*积分规则3</f>
        <v>5137.5413419913421</v>
      </c>
      <c r="O18" s="3">
        <f>M18+SUM(O8:O16)-O17</f>
        <v>0</v>
      </c>
      <c r="P18" s="80">
        <f>O18*积分规则3</f>
        <v>0</v>
      </c>
      <c r="R18" s="26"/>
      <c r="S18" s="26"/>
    </row>
    <row r="19" spans="2:19" ht="16.8" thickTop="1" thickBot="1">
      <c r="B19" s="37" t="s">
        <v>32</v>
      </c>
      <c r="C19" s="3">
        <v>0</v>
      </c>
      <c r="D19" s="4">
        <f>C19*随机箱积分</f>
        <v>0</v>
      </c>
      <c r="E19" s="3">
        <v>0</v>
      </c>
      <c r="F19" s="4">
        <f>E19*随机箱积分</f>
        <v>0</v>
      </c>
      <c r="G19" s="3">
        <v>0</v>
      </c>
      <c r="H19" s="4">
        <f>G19*随机箱积分</f>
        <v>0</v>
      </c>
      <c r="I19" s="3">
        <v>0</v>
      </c>
      <c r="J19" s="4">
        <f>I19*随机箱积分</f>
        <v>0</v>
      </c>
      <c r="K19" s="3">
        <v>0</v>
      </c>
      <c r="L19" s="4">
        <f>K19*随机箱积分</f>
        <v>0</v>
      </c>
      <c r="M19" s="3">
        <v>0</v>
      </c>
      <c r="N19" s="4">
        <f>M19*随机箱积分</f>
        <v>0</v>
      </c>
      <c r="O19" s="3">
        <v>47</v>
      </c>
      <c r="P19" s="4">
        <f>O19*随机箱积分</f>
        <v>481.98499999999996</v>
      </c>
      <c r="R19" s="91" t="s">
        <v>108</v>
      </c>
      <c r="S19" s="26"/>
    </row>
    <row r="20" spans="2:19" ht="16.8" thickTop="1" thickBot="1">
      <c r="B20" s="36" t="s">
        <v>33</v>
      </c>
      <c r="C20" s="3">
        <f>C27-SUM(C19)</f>
        <v>0</v>
      </c>
      <c r="D20" s="4">
        <f>C20*随机箱积分</f>
        <v>0</v>
      </c>
      <c r="E20" s="3">
        <f>E27-SUM(C19,E19)</f>
        <v>0</v>
      </c>
      <c r="F20" s="4">
        <f>E20*随机箱积分</f>
        <v>0</v>
      </c>
      <c r="G20" s="3">
        <f>G27-SUM(C19,E19,G19)</f>
        <v>0</v>
      </c>
      <c r="H20" s="4">
        <f>G20*随机箱积分</f>
        <v>0</v>
      </c>
      <c r="I20" s="3">
        <f>I27-SUM(C19,E19,G19,I19)</f>
        <v>0</v>
      </c>
      <c r="J20" s="4">
        <f>I20*随机箱积分</f>
        <v>0</v>
      </c>
      <c r="K20" s="3">
        <f>K27-SUM(C19,E19,G19,I19,K19)</f>
        <v>0</v>
      </c>
      <c r="L20" s="4">
        <f>K20*随机箱积分</f>
        <v>0</v>
      </c>
      <c r="M20" s="3">
        <f>M27-SUM(C19,E19,G19,I19,K19,M19)</f>
        <v>2</v>
      </c>
      <c r="N20" s="4">
        <f>M20*随机箱积分</f>
        <v>20.509999999999998</v>
      </c>
      <c r="O20" s="3">
        <f>O27-SUM(C19,E19,G19,I19,K19,M19,O19)</f>
        <v>0</v>
      </c>
      <c r="P20" s="4">
        <f>O20*随机箱积分</f>
        <v>0</v>
      </c>
      <c r="R20" s="26"/>
      <c r="S20" s="26"/>
    </row>
    <row r="21" spans="2:19" ht="16.8" thickTop="1" thickBot="1">
      <c r="B21" s="38" t="str">
        <f xml:space="preserve"> "兑换"&amp; 高级兑换道具</f>
        <v>兑换蜜橙棒棒糖</v>
      </c>
      <c r="C21" s="3">
        <v>0</v>
      </c>
      <c r="D21" s="4">
        <f>C21*积分规则2</f>
        <v>0</v>
      </c>
      <c r="E21" s="3">
        <v>0</v>
      </c>
      <c r="F21" s="4">
        <f>E21*积分规则2</f>
        <v>0</v>
      </c>
      <c r="G21" s="3">
        <v>0</v>
      </c>
      <c r="H21" s="4">
        <f>G21*积分规则2</f>
        <v>0</v>
      </c>
      <c r="I21" s="3">
        <v>0</v>
      </c>
      <c r="J21" s="4">
        <f>I21*积分规则2</f>
        <v>0</v>
      </c>
      <c r="K21" s="3">
        <v>0</v>
      </c>
      <c r="L21" s="4">
        <f>K21*积分规则2</f>
        <v>0</v>
      </c>
      <c r="M21" s="3">
        <v>0</v>
      </c>
      <c r="N21" s="4">
        <f>M21*积分规则2</f>
        <v>0</v>
      </c>
      <c r="O21" s="3">
        <v>30</v>
      </c>
      <c r="P21" s="4">
        <f>O21*积分规则2</f>
        <v>30</v>
      </c>
      <c r="R21" s="91" t="s">
        <v>109</v>
      </c>
    </row>
    <row r="22" spans="2:19" ht="16.2" thickTop="1">
      <c r="B22" s="70" t="str">
        <f xml:space="preserve"> "氪金"&amp;高级兑换道具</f>
        <v>氪金蜜橙棒棒糖</v>
      </c>
      <c r="C22" s="3">
        <f>SUMPRODUCT(D39:D42,高级兑换道具礼包道具数)</f>
        <v>0</v>
      </c>
      <c r="D22" s="4">
        <f>C22*积分规则2</f>
        <v>0</v>
      </c>
      <c r="E22" s="3">
        <f>SUM(F39*高级兑换道具礼包1,F40*高级兑换道具礼包2,F41*高级兑换道具礼包3,F42*高级兑换道具礼包4)</f>
        <v>0</v>
      </c>
      <c r="F22" s="4">
        <f>E22*积分规则2</f>
        <v>0</v>
      </c>
      <c r="G22" s="3">
        <f>SUM(H39*高级兑换道具礼包1,H40*高级兑换道具礼包2,H41*高级兑换道具礼包3,H42*高级兑换道具礼包4)</f>
        <v>0</v>
      </c>
      <c r="H22" s="4">
        <f>G22*积分规则2</f>
        <v>0</v>
      </c>
      <c r="I22" s="3">
        <f>SUM(J39*高级兑换道具礼包1,J40*高级兑换道具礼包2,J41*高级兑换道具礼包3,J42*高级兑换道具礼包4)</f>
        <v>0</v>
      </c>
      <c r="J22" s="4">
        <f>I22*积分规则2</f>
        <v>0</v>
      </c>
      <c r="K22" s="3">
        <f>SUM(L39*高级兑换道具礼包1,L40*高级兑换道具礼包2,L41*高级兑换道具礼包3,L42*高级兑换道具礼包4)</f>
        <v>0</v>
      </c>
      <c r="L22" s="4">
        <f>K22*积分规则2</f>
        <v>0</v>
      </c>
      <c r="M22" s="3">
        <f>SUM(N39*高级兑换道具礼包1,N40*高级兑换道具礼包2,N41*高级兑换道具礼包3,N42*高级兑换道具礼包4)</f>
        <v>0</v>
      </c>
      <c r="N22" s="4">
        <f>M22*积分规则2</f>
        <v>0</v>
      </c>
      <c r="O22" s="3">
        <f>SUM(P39*高级兑换道具礼包1,P40*高级兑换道具礼包2,P41*高级兑换道具礼包3,P42*高级兑换道具礼包4)</f>
        <v>0</v>
      </c>
      <c r="P22" s="4">
        <f>O22*积分规则2</f>
        <v>0</v>
      </c>
    </row>
    <row r="23" spans="2:19" ht="16.2" thickBot="1">
      <c r="B23" s="13" t="s">
        <v>40</v>
      </c>
      <c r="C23" s="3"/>
      <c r="D23" s="4"/>
      <c r="E23" s="3"/>
      <c r="F23" s="4"/>
      <c r="G23" s="3"/>
      <c r="H23" s="4"/>
      <c r="I23" s="3"/>
      <c r="J23" s="4"/>
      <c r="K23" s="3"/>
      <c r="L23" s="4"/>
      <c r="M23" s="3"/>
      <c r="N23" s="4"/>
      <c r="O23" s="3"/>
      <c r="P23" s="4"/>
    </row>
    <row r="24" spans="2:19" ht="16.8" thickTop="1" thickBot="1">
      <c r="B24" s="65" t="s">
        <v>82</v>
      </c>
      <c r="C24" s="42" t="str">
        <f>IFERROR(LOOKUP(D24,档位积分1:档位积分5,第1档:第5档),"无奖励")</f>
        <v>第1档</v>
      </c>
      <c r="D24" s="43">
        <f>SUM(D8:D17)+D19+SUM(D21:D23)</f>
        <v>2600</v>
      </c>
      <c r="E24" s="44" t="str">
        <f>IFERROR(LOOKUP(F24,档位积分1:档位积分5,第1档:第5档),"无奖励")</f>
        <v>第1档</v>
      </c>
      <c r="F24" s="43">
        <f>SUM(F8:F17)+F19+SUM(F21:F23)</f>
        <v>2525</v>
      </c>
      <c r="G24" s="44" t="str">
        <f>IFERROR(LOOKUP(H24,档位积分1:档位积分5,第1档:第5档),"无奖励")</f>
        <v>第1档</v>
      </c>
      <c r="H24" s="43">
        <f>SUM(H8:H17)+H19+SUM(H21:H23)</f>
        <v>2525</v>
      </c>
      <c r="I24" s="44" t="str">
        <f>IFERROR(LOOKUP(J24,档位积分1:档位积分5,第1档:第5档),"无奖励")</f>
        <v>第1档</v>
      </c>
      <c r="J24" s="43">
        <f>SUM(J8:J17)+J19+SUM(J21:J23)</f>
        <v>2525</v>
      </c>
      <c r="K24" s="44" t="str">
        <f>IFERROR(LOOKUP(L24,档位积分1:档位积分5,第1档:第5档),"无奖励")</f>
        <v>第1档</v>
      </c>
      <c r="L24" s="43">
        <f>SUM(L8:L17)+L19+SUM(L21:L23)</f>
        <v>2525</v>
      </c>
      <c r="M24" s="44" t="str">
        <f>IFERROR(LOOKUP(N24,档位积分1:档位积分5,第1档:第5档),"无奖励")</f>
        <v>第2档</v>
      </c>
      <c r="N24" s="43">
        <f>SUM(N8:N17)+N19+SUM(N21:N23)</f>
        <v>3004.6268398268398</v>
      </c>
      <c r="O24" s="44" t="str">
        <f>IFERROR(LOOKUP(P24,档位积分1:档位积分5,第1档:第5档),"无奖励")</f>
        <v>第4档</v>
      </c>
      <c r="P24" s="43">
        <f>SUM(P8:P17)+P19+SUM(P21:P23)</f>
        <v>8934.9912770562769</v>
      </c>
    </row>
    <row r="25" spans="2:19" ht="16.8" thickTop="1" thickBot="1">
      <c r="B25" s="13" t="s">
        <v>83</v>
      </c>
      <c r="C25" s="78">
        <f>D24-IF(C24="无奖励", "",
   INDEX(档位积分1:档位积分5, MATCH(D24, 档位积分1:档位积分5, 1)))</f>
        <v>1800</v>
      </c>
      <c r="D25" s="79">
        <f>IF(D24&gt;=MAX(档位积分1:档位积分5), "",
   IF(D24&lt;MIN(档位积分1:档位积分5), MIN(档位积分1:档位积分5),
      INDEX(档位积分1:档位积分5, MATCH(D24, 档位积分1:档位积分5, 1)+1)))-D24</f>
        <v>400</v>
      </c>
      <c r="E25" s="78">
        <f>F24-IF(E24="无奖励", "",
   INDEX(档位积分1:档位积分5, MATCH(F24, 档位积分1:档位积分5, 1)))</f>
        <v>1725</v>
      </c>
      <c r="F25" s="79">
        <f>IF(F24&gt;=MAX(档位积分1:档位积分5), "",
   IF(F24&lt;MIN(档位积分1:档位积分5), MIN(档位积分1:档位积分5),
      INDEX(档位积分1:档位积分5, MATCH(F24, 档位积分1:档位积分5, 1)+1)))-F24</f>
        <v>475</v>
      </c>
      <c r="G25" s="78">
        <f>H24-IF(G24="无奖励", "",
   INDEX(档位积分1:档位积分5, MATCH(H24, 档位积分1:档位积分5, 1)))</f>
        <v>1725</v>
      </c>
      <c r="H25" s="79">
        <f>IF(H24&gt;=MAX(档位积分1:档位积分5), "",
   IF(H24&lt;MIN(档位积分1:档位积分5), MIN(档位积分1:档位积分5),
      INDEX(档位积分1:档位积分5, MATCH(H24, 档位积分1:档位积分5, 1)+1)))-H24</f>
        <v>475</v>
      </c>
      <c r="I25" s="78">
        <f>J24-IF(I24="无奖励", "",
   INDEX(档位积分1:档位积分5, MATCH(J24, 档位积分1:档位积分5, 1)))</f>
        <v>1725</v>
      </c>
      <c r="J25" s="79">
        <f>IF(J24&gt;=MAX(档位积分1:档位积分5), "",
   IF(J24&lt;MIN(档位积分1:档位积分5), MIN(档位积分1:档位积分5),
      INDEX(档位积分1:档位积分5, MATCH(J24, 档位积分1:档位积分5, 1)+1)))-J24</f>
        <v>475</v>
      </c>
      <c r="K25" s="78">
        <f>L24-IF(K24="无奖励", "",
   INDEX(档位积分1:档位积分5, MATCH(L24, 档位积分1:档位积分5, 1)))</f>
        <v>1725</v>
      </c>
      <c r="L25" s="79">
        <f>IF(L24&gt;=MAX(档位积分1:档位积分5), "",
   IF(L24&lt;MIN(档位积分1:档位积分5), MIN(档位积分1:档位积分5),
      INDEX(档位积分1:档位积分5, MATCH(L24, 档位积分1:档位积分5, 1)+1)))-L24</f>
        <v>475</v>
      </c>
      <c r="M25" s="78">
        <f>N24-IF(M24="无奖励", "",
   INDEX(档位积分1:档位积分5, MATCH(N24, 档位积分1:档位积分5, 1)))</f>
        <v>4.6268398268398414</v>
      </c>
      <c r="N25" s="79">
        <f>IF(N24&gt;=MAX(档位积分1:档位积分5), "",
   IF(N24&lt;MIN(档位积分1:档位积分5), MIN(档位积分1:档位积分5),
      INDEX(档位积分1:档位积分5, MATCH(N24, 档位积分1:档位积分5, 1)+1)))-N24</f>
        <v>1195.3731601731602</v>
      </c>
      <c r="O25" s="78">
        <f>P24-IF(O24="无奖励", "",
   INDEX(档位积分1:档位积分5, MATCH(P24, 档位积分1:档位积分5, 1)))</f>
        <v>634.99127705627689</v>
      </c>
      <c r="P25" s="79">
        <f>IF(P24&gt;=MAX(档位积分1:档位积分5), "",
   IF(P24&lt;MIN(档位积分1:档位积分5), MIN(档位积分1:档位积分5),
      INDEX(档位积分1:档位积分5, MATCH(P24, 档位积分1:档位积分5, 1)+1)))-P24</f>
        <v>1465.0087229437231</v>
      </c>
    </row>
    <row r="26" spans="2:19" ht="16.2" thickTop="1">
      <c r="B26" s="41" t="str">
        <f>"总"&amp;抽奖道具</f>
        <v>总糖果币</v>
      </c>
      <c r="C26" s="31">
        <f>SUM(C8:C16)</f>
        <v>104</v>
      </c>
      <c r="D26" s="49">
        <f>C26*积分规则3</f>
        <v>959.25367965367968</v>
      </c>
      <c r="E26" s="31">
        <f>C26+SUM(E8:E16)</f>
        <v>205</v>
      </c>
      <c r="F26" s="49">
        <f>E26*积分规则3</f>
        <v>1890.8365800865802</v>
      </c>
      <c r="G26" s="31">
        <f>E26+SUM(G8:G16)</f>
        <v>306</v>
      </c>
      <c r="H26" s="49">
        <f>G26*积分规则3</f>
        <v>2822.4194805194807</v>
      </c>
      <c r="I26" s="31">
        <f>G26+SUM(I8:I16)</f>
        <v>407</v>
      </c>
      <c r="J26" s="49">
        <f>I26*积分规则3</f>
        <v>3754.0023809523809</v>
      </c>
      <c r="K26" s="31">
        <f>I26+SUM(K8:K16)</f>
        <v>508</v>
      </c>
      <c r="L26" s="49">
        <f>K26*积分规则3</f>
        <v>4685.5852813852816</v>
      </c>
      <c r="M26" s="31">
        <f>K26+SUM(M8:M16)</f>
        <v>609</v>
      </c>
      <c r="N26" s="49">
        <f>M26*积分规则3</f>
        <v>5617.1681818181823</v>
      </c>
      <c r="O26" s="31">
        <f>M26+SUM(O8:O16)</f>
        <v>705</v>
      </c>
      <c r="P26" s="49">
        <f>O26*积分规则3</f>
        <v>6502.6331168831175</v>
      </c>
    </row>
    <row r="27" spans="2:19" ht="16.2" thickBot="1">
      <c r="B27" s="30" t="s">
        <v>41</v>
      </c>
      <c r="C27" s="5">
        <f>IFERROR(LOOKUP(D24,档位积分1:档位积分5,档位奖励1:档位奖励5),0)+D44*氪金基金随机箱</f>
        <v>0</v>
      </c>
      <c r="D27" s="12">
        <f>C27*随机箱积分</f>
        <v>0</v>
      </c>
      <c r="E27" s="5">
        <f>IFERROR(LOOKUP(F24,档位积分1:档位积分5,档位奖励1:档位奖励5),0)+C27+F44*氪金基金随机箱</f>
        <v>0</v>
      </c>
      <c r="F27" s="12">
        <f>E27*随机箱积分</f>
        <v>0</v>
      </c>
      <c r="G27" s="5">
        <f>IFERROR(LOOKUP(H24,档位积分1:档位积分5,档位奖励1:档位奖励5),0)+E27+H44*氪金基金随机箱</f>
        <v>0</v>
      </c>
      <c r="H27" s="12">
        <f>G27*随机箱积分</f>
        <v>0</v>
      </c>
      <c r="I27" s="5">
        <f>IFERROR(LOOKUP(J24,档位积分1:档位积分5,档位奖励1:档位奖励5),0)+G27+J44*氪金基金随机箱</f>
        <v>0</v>
      </c>
      <c r="J27" s="12">
        <f>I27*随机箱积分</f>
        <v>0</v>
      </c>
      <c r="K27" s="5">
        <f>IFERROR(LOOKUP(L24,档位积分1:档位积分5,档位奖励1:档位奖励5),0)+I27+L44*氪金基金随机箱</f>
        <v>0</v>
      </c>
      <c r="L27" s="12">
        <f>K27*随机箱积分</f>
        <v>0</v>
      </c>
      <c r="M27" s="5">
        <f>IFERROR(LOOKUP(N24,档位积分1:档位积分5,档位奖励1:档位奖励5),0)+K27+N44*氪金基金随机箱</f>
        <v>2</v>
      </c>
      <c r="N27" s="12">
        <f>M27*随机箱积分</f>
        <v>20.509999999999998</v>
      </c>
      <c r="O27" s="5">
        <f>IFERROR(LOOKUP(P24,档位积分1:档位积分5,档位奖励1:档位奖励5),0)+M27+P44*氪金基金随机箱</f>
        <v>47</v>
      </c>
      <c r="P27" s="12">
        <f>O27*随机箱积分</f>
        <v>481.98499999999996</v>
      </c>
    </row>
    <row r="28" spans="2:19" ht="16.2" thickTop="1">
      <c r="B28" s="33" t="str">
        <f>普通兑换道具</f>
        <v>紫晶棒棒糖</v>
      </c>
      <c r="C28" s="45">
        <f>C17*普通兑换道具抽奖期望</f>
        <v>0</v>
      </c>
      <c r="D28" s="32"/>
      <c r="E28" s="45">
        <f>E17*普通兑换道具抽奖期望+C28</f>
        <v>0</v>
      </c>
      <c r="F28" s="46"/>
      <c r="G28" s="45">
        <f>G17*普通兑换道具抽奖期望+E28</f>
        <v>0</v>
      </c>
      <c r="H28" s="46"/>
      <c r="I28" s="45">
        <f>I17*普通兑换道具抽奖期望+G28</f>
        <v>0</v>
      </c>
      <c r="J28" s="46"/>
      <c r="K28" s="45">
        <f>K17*普通兑换道具抽奖期望+I28</f>
        <v>0</v>
      </c>
      <c r="L28" s="46"/>
      <c r="M28" s="45">
        <f>M17*普通兑换道具抽奖期望+K28</f>
        <v>1496.5194805194806</v>
      </c>
      <c r="N28" s="46"/>
      <c r="O28" s="45">
        <f>O17*普通兑换道具抽奖期望+M28-O21*16</f>
        <v>19809.35064935065</v>
      </c>
      <c r="P28" s="32"/>
    </row>
    <row r="29" spans="2:19" ht="16.2" thickBot="1">
      <c r="B29" s="34" t="str">
        <f>高级兑换道具</f>
        <v>蜜橙棒棒糖</v>
      </c>
      <c r="C29" s="47">
        <f>C17*高级兑换道具抽奖期望+C19*随机箱高级道具期望+C21+C22</f>
        <v>0</v>
      </c>
      <c r="D29" s="12"/>
      <c r="E29" s="47">
        <f>E17*高级兑换道具抽奖期望+E19*随机箱高级道具期望+E21+E22+C29</f>
        <v>0</v>
      </c>
      <c r="F29" s="48"/>
      <c r="G29" s="47">
        <f>G17*高级兑换道具抽奖期望+G19*随机箱高级道具期望+G21+G22+E29</f>
        <v>0</v>
      </c>
      <c r="H29" s="48"/>
      <c r="I29" s="47">
        <f>I17*高级兑换道具抽奖期望+I19*随机箱高级道具期望+I21+I22+G29</f>
        <v>0</v>
      </c>
      <c r="J29" s="48"/>
      <c r="K29" s="47">
        <f>K17*高级兑换道具抽奖期望+K19*随机箱高级道具期望+K21+K22+I29</f>
        <v>0</v>
      </c>
      <c r="L29" s="48"/>
      <c r="M29" s="47">
        <f>M17*高级兑换道具抽奖期望+M19*随机箱高级道具期望+M21+M22+K29</f>
        <v>46.293506493506499</v>
      </c>
      <c r="N29" s="48"/>
      <c r="O29" s="52">
        <f>O17*高级兑换道具抽奖期望+O19*随机箱高级道具期望+O21+O22+M29</f>
        <v>1139.618116883117</v>
      </c>
      <c r="P29" s="12"/>
    </row>
    <row r="30" spans="2:19" ht="16.8" thickTop="1" thickBot="1">
      <c r="B30" s="41" t="s">
        <v>81</v>
      </c>
      <c r="C30" s="55" t="str">
        <f>C7</f>
        <v>糖果币</v>
      </c>
      <c r="D30" s="56" t="s">
        <v>80</v>
      </c>
      <c r="E30" s="55" t="str">
        <f>E7</f>
        <v>糖果币</v>
      </c>
      <c r="F30" s="56" t="s">
        <v>80</v>
      </c>
      <c r="G30" s="55" t="str">
        <f>G7</f>
        <v>糖果币</v>
      </c>
      <c r="H30" s="56" t="s">
        <v>80</v>
      </c>
      <c r="I30" s="55" t="str">
        <f>I7</f>
        <v>糖果币</v>
      </c>
      <c r="J30" s="56" t="s">
        <v>80</v>
      </c>
      <c r="K30" s="55" t="str">
        <f>K7</f>
        <v>糖果币</v>
      </c>
      <c r="L30" s="56" t="s">
        <v>80</v>
      </c>
      <c r="M30" s="55" t="str">
        <f>M7</f>
        <v>糖果币</v>
      </c>
      <c r="N30" s="56" t="s">
        <v>80</v>
      </c>
      <c r="O30" s="55" t="str">
        <f>O7</f>
        <v>糖果币</v>
      </c>
      <c r="P30" s="56" t="s">
        <v>80</v>
      </c>
    </row>
    <row r="31" spans="2:19" ht="16.2" customHeight="1" thickTop="1">
      <c r="B31" s="59" t="str">
        <f>抽奖道具 &amp; "礼包Ⅰ"</f>
        <v>糖果币礼包Ⅰ</v>
      </c>
      <c r="C31" s="39">
        <f>抽奖道具礼包1</f>
        <v>10</v>
      </c>
      <c r="D31" s="24">
        <v>0</v>
      </c>
      <c r="E31" s="39">
        <f>抽奖道具礼包1</f>
        <v>10</v>
      </c>
      <c r="F31" s="24">
        <v>0</v>
      </c>
      <c r="G31" s="39">
        <f>抽奖道具礼包1</f>
        <v>10</v>
      </c>
      <c r="H31" s="24">
        <v>0</v>
      </c>
      <c r="I31" s="39">
        <f>抽奖道具礼包1</f>
        <v>10</v>
      </c>
      <c r="J31" s="24">
        <v>0</v>
      </c>
      <c r="K31" s="39">
        <f>抽奖道具礼包1</f>
        <v>10</v>
      </c>
      <c r="L31" s="24">
        <v>0</v>
      </c>
      <c r="M31" s="39">
        <f>抽奖道具礼包1</f>
        <v>10</v>
      </c>
      <c r="N31" s="24">
        <v>0</v>
      </c>
      <c r="O31" s="39">
        <f>抽奖道具礼包1</f>
        <v>10</v>
      </c>
      <c r="P31" s="24">
        <v>0</v>
      </c>
      <c r="R31" s="161" t="s">
        <v>113</v>
      </c>
    </row>
    <row r="32" spans="2:19">
      <c r="B32" s="92" t="str">
        <f>抽奖道具 &amp; "礼包Ⅱ"</f>
        <v>糖果币礼包Ⅱ</v>
      </c>
      <c r="C32" s="39">
        <f>抽奖道具礼包2</f>
        <v>15</v>
      </c>
      <c r="D32" s="24">
        <v>0</v>
      </c>
      <c r="E32" s="39">
        <f>抽奖道具礼包2</f>
        <v>15</v>
      </c>
      <c r="F32" s="24">
        <v>0</v>
      </c>
      <c r="G32" s="39">
        <f>抽奖道具礼包2</f>
        <v>15</v>
      </c>
      <c r="H32" s="24">
        <v>0</v>
      </c>
      <c r="I32" s="39">
        <f>抽奖道具礼包2</f>
        <v>15</v>
      </c>
      <c r="J32" s="24">
        <v>0</v>
      </c>
      <c r="K32" s="39">
        <f>抽奖道具礼包2</f>
        <v>15</v>
      </c>
      <c r="L32" s="24">
        <v>0</v>
      </c>
      <c r="M32" s="39">
        <f>抽奖道具礼包2</f>
        <v>15</v>
      </c>
      <c r="N32" s="24">
        <v>0</v>
      </c>
      <c r="O32" s="39">
        <f>抽奖道具礼包2</f>
        <v>15</v>
      </c>
      <c r="P32" s="24">
        <v>0</v>
      </c>
      <c r="R32" s="162"/>
    </row>
    <row r="33" spans="2:18">
      <c r="B33" s="92" t="str">
        <f>抽奖道具 &amp; "礼包Ⅲ"</f>
        <v>糖果币礼包Ⅲ</v>
      </c>
      <c r="C33" s="39">
        <f>抽奖道具礼包3</f>
        <v>30</v>
      </c>
      <c r="D33" s="24">
        <v>0</v>
      </c>
      <c r="E33" s="39">
        <f>抽奖道具礼包3</f>
        <v>30</v>
      </c>
      <c r="F33" s="24">
        <v>0</v>
      </c>
      <c r="G33" s="39">
        <f>抽奖道具礼包3</f>
        <v>30</v>
      </c>
      <c r="H33" s="24">
        <v>0</v>
      </c>
      <c r="I33" s="39">
        <f>抽奖道具礼包3</f>
        <v>30</v>
      </c>
      <c r="J33" s="24">
        <v>0</v>
      </c>
      <c r="K33" s="39">
        <f>抽奖道具礼包3</f>
        <v>30</v>
      </c>
      <c r="L33" s="24">
        <v>0</v>
      </c>
      <c r="M33" s="39">
        <f>抽奖道具礼包3</f>
        <v>30</v>
      </c>
      <c r="N33" s="24">
        <v>0</v>
      </c>
      <c r="O33" s="39">
        <f>抽奖道具礼包3</f>
        <v>30</v>
      </c>
      <c r="P33" s="24">
        <v>0</v>
      </c>
      <c r="R33" s="162"/>
    </row>
    <row r="34" spans="2:18">
      <c r="B34" s="92" t="str">
        <f>抽奖道具 &amp; "礼包Ⅳ"</f>
        <v>糖果币礼包Ⅳ</v>
      </c>
      <c r="C34" s="39">
        <f>抽奖道具礼包4</f>
        <v>60</v>
      </c>
      <c r="D34" s="24">
        <v>0</v>
      </c>
      <c r="E34" s="39">
        <f>抽奖道具礼包4</f>
        <v>60</v>
      </c>
      <c r="F34" s="24">
        <v>0</v>
      </c>
      <c r="G34" s="39">
        <f>抽奖道具礼包4</f>
        <v>60</v>
      </c>
      <c r="H34" s="24">
        <v>0</v>
      </c>
      <c r="I34" s="39">
        <f>抽奖道具礼包4</f>
        <v>60</v>
      </c>
      <c r="J34" s="24">
        <v>0</v>
      </c>
      <c r="K34" s="39">
        <f>抽奖道具礼包4</f>
        <v>60</v>
      </c>
      <c r="L34" s="24">
        <v>0</v>
      </c>
      <c r="M34" s="39">
        <f>抽奖道具礼包4</f>
        <v>60</v>
      </c>
      <c r="N34" s="24">
        <v>0</v>
      </c>
      <c r="O34" s="39">
        <f>抽奖道具礼包4</f>
        <v>60</v>
      </c>
      <c r="P34" s="24">
        <v>0</v>
      </c>
      <c r="R34" s="162"/>
    </row>
    <row r="35" spans="2:18">
      <c r="B35" s="92" t="str">
        <f>抽奖道具 &amp; "礼包Ⅴ"</f>
        <v>糖果币礼包Ⅴ</v>
      </c>
      <c r="C35" s="39">
        <f>抽奖道具礼包5</f>
        <v>100</v>
      </c>
      <c r="D35" s="24">
        <v>0</v>
      </c>
      <c r="E35" s="39">
        <f>抽奖道具礼包5</f>
        <v>100</v>
      </c>
      <c r="F35" s="24">
        <v>0</v>
      </c>
      <c r="G35" s="39">
        <f>抽奖道具礼包5</f>
        <v>100</v>
      </c>
      <c r="H35" s="24">
        <v>0</v>
      </c>
      <c r="I35" s="39">
        <f>抽奖道具礼包5</f>
        <v>100</v>
      </c>
      <c r="J35" s="24">
        <v>0</v>
      </c>
      <c r="K35" s="39">
        <f>抽奖道具礼包5</f>
        <v>100</v>
      </c>
      <c r="L35" s="24">
        <v>0</v>
      </c>
      <c r="M35" s="39">
        <f>抽奖道具礼包5</f>
        <v>100</v>
      </c>
      <c r="N35" s="24">
        <v>0</v>
      </c>
      <c r="O35" s="39">
        <f>抽奖道具礼包5</f>
        <v>100</v>
      </c>
      <c r="P35" s="24">
        <v>0</v>
      </c>
      <c r="R35" s="162"/>
    </row>
    <row r="36" spans="2:18">
      <c r="B36" s="92" t="str">
        <f>抽奖道具 &amp; "礼包Ⅵ"</f>
        <v>糖果币礼包Ⅵ</v>
      </c>
      <c r="C36" s="39">
        <f>抽奖道具礼包6</f>
        <v>100</v>
      </c>
      <c r="D36" s="24">
        <v>0</v>
      </c>
      <c r="E36" s="39">
        <f>抽奖道具礼包6</f>
        <v>100</v>
      </c>
      <c r="F36" s="24">
        <v>0</v>
      </c>
      <c r="G36" s="39">
        <f>抽奖道具礼包6</f>
        <v>100</v>
      </c>
      <c r="H36" s="24">
        <v>0</v>
      </c>
      <c r="I36" s="39">
        <f>抽奖道具礼包6</f>
        <v>100</v>
      </c>
      <c r="J36" s="24">
        <v>0</v>
      </c>
      <c r="K36" s="39">
        <f>抽奖道具礼包6</f>
        <v>100</v>
      </c>
      <c r="L36" s="24">
        <v>0</v>
      </c>
      <c r="M36" s="39">
        <f>抽奖道具礼包6</f>
        <v>100</v>
      </c>
      <c r="N36" s="24">
        <v>0</v>
      </c>
      <c r="O36" s="39">
        <f>抽奖道具礼包6</f>
        <v>100</v>
      </c>
      <c r="P36" s="24">
        <v>0</v>
      </c>
      <c r="R36" s="162"/>
    </row>
    <row r="37" spans="2:18" ht="16.2" thickBot="1">
      <c r="B37" s="93" t="str">
        <f>抽奖道具 &amp; "礼包Ⅶ"</f>
        <v>糖果币礼包Ⅶ</v>
      </c>
      <c r="C37" s="57">
        <f>抽奖道具礼包7</f>
        <v>100</v>
      </c>
      <c r="D37" s="12">
        <v>0</v>
      </c>
      <c r="E37" s="57">
        <f>抽奖道具礼包7</f>
        <v>100</v>
      </c>
      <c r="F37" s="12">
        <v>0</v>
      </c>
      <c r="G37" s="57">
        <f>抽奖道具礼包7</f>
        <v>100</v>
      </c>
      <c r="H37" s="12">
        <v>0</v>
      </c>
      <c r="I37" s="57">
        <f>抽奖道具礼包7</f>
        <v>100</v>
      </c>
      <c r="J37" s="12">
        <v>0</v>
      </c>
      <c r="K37" s="57">
        <f>抽奖道具礼包7</f>
        <v>100</v>
      </c>
      <c r="L37" s="12">
        <v>0</v>
      </c>
      <c r="M37" s="57">
        <f>抽奖道具礼包7</f>
        <v>100</v>
      </c>
      <c r="N37" s="12">
        <v>0</v>
      </c>
      <c r="O37" s="57">
        <f>抽奖道具礼包7</f>
        <v>100</v>
      </c>
      <c r="P37" s="12">
        <v>0</v>
      </c>
      <c r="R37" s="162"/>
    </row>
    <row r="38" spans="2:18" ht="32.4" thickTop="1" thickBot="1">
      <c r="B38" s="39" t="s">
        <v>115</v>
      </c>
      <c r="C38" s="55" t="str">
        <f>高级兑换道具</f>
        <v>蜜橙棒棒糖</v>
      </c>
      <c r="D38" s="56" t="s">
        <v>80</v>
      </c>
      <c r="E38" s="55" t="str">
        <f>高级兑换道具</f>
        <v>蜜橙棒棒糖</v>
      </c>
      <c r="F38" s="56" t="s">
        <v>80</v>
      </c>
      <c r="G38" s="55" t="str">
        <f>高级兑换道具</f>
        <v>蜜橙棒棒糖</v>
      </c>
      <c r="H38" s="56" t="s">
        <v>80</v>
      </c>
      <c r="I38" s="55" t="str">
        <f>高级兑换道具</f>
        <v>蜜橙棒棒糖</v>
      </c>
      <c r="J38" s="56" t="s">
        <v>80</v>
      </c>
      <c r="K38" s="55" t="str">
        <f>高级兑换道具</f>
        <v>蜜橙棒棒糖</v>
      </c>
      <c r="L38" s="56" t="s">
        <v>80</v>
      </c>
      <c r="M38" s="55" t="str">
        <f>高级兑换道具</f>
        <v>蜜橙棒棒糖</v>
      </c>
      <c r="N38" s="56" t="s">
        <v>80</v>
      </c>
      <c r="O38" s="55" t="str">
        <f>高级兑换道具</f>
        <v>蜜橙棒棒糖</v>
      </c>
      <c r="P38" s="56" t="s">
        <v>80</v>
      </c>
      <c r="R38" s="162"/>
    </row>
    <row r="39" spans="2:18" ht="16.2" customHeight="1" thickTop="1">
      <c r="B39" s="84" t="str">
        <f>高级兑换道具 &amp; "礼包Ⅰ"</f>
        <v>蜜橙棒棒糖礼包Ⅰ</v>
      </c>
      <c r="C39" s="18">
        <f>高级兑换道具礼包1</f>
        <v>55</v>
      </c>
      <c r="D39" s="32">
        <v>0</v>
      </c>
      <c r="E39" s="18">
        <f>高级兑换道具礼包1</f>
        <v>55</v>
      </c>
      <c r="F39" s="32">
        <v>0</v>
      </c>
      <c r="G39" s="18">
        <f>高级兑换道具礼包1</f>
        <v>55</v>
      </c>
      <c r="H39" s="32">
        <v>0</v>
      </c>
      <c r="I39" s="18">
        <f>高级兑换道具礼包1</f>
        <v>55</v>
      </c>
      <c r="J39" s="32">
        <v>0</v>
      </c>
      <c r="K39" s="18">
        <f>高级兑换道具礼包1</f>
        <v>55</v>
      </c>
      <c r="L39" s="32">
        <v>0</v>
      </c>
      <c r="M39" s="18">
        <f>高级兑换道具礼包1</f>
        <v>55</v>
      </c>
      <c r="N39" s="32">
        <v>0</v>
      </c>
      <c r="O39" s="18">
        <f>高级兑换道具礼包1</f>
        <v>55</v>
      </c>
      <c r="P39" s="32">
        <v>0</v>
      </c>
      <c r="R39" s="162"/>
    </row>
    <row r="40" spans="2:18" ht="31.2">
      <c r="B40" s="85" t="str">
        <f>高级兑换道具 &amp; "礼包Ⅱ"</f>
        <v>蜜橙棒棒糖礼包Ⅱ</v>
      </c>
      <c r="C40" s="39">
        <f>高级兑换道具礼包2</f>
        <v>110</v>
      </c>
      <c r="D40" s="4">
        <v>0</v>
      </c>
      <c r="E40" s="39">
        <f>高级兑换道具礼包2</f>
        <v>110</v>
      </c>
      <c r="F40" s="4">
        <v>0</v>
      </c>
      <c r="G40" s="39">
        <f>高级兑换道具礼包2</f>
        <v>110</v>
      </c>
      <c r="H40" s="4">
        <v>0</v>
      </c>
      <c r="I40" s="39">
        <f>高级兑换道具礼包2</f>
        <v>110</v>
      </c>
      <c r="J40" s="4">
        <v>0</v>
      </c>
      <c r="K40" s="39">
        <f>高级兑换道具礼包2</f>
        <v>110</v>
      </c>
      <c r="L40" s="4">
        <v>0</v>
      </c>
      <c r="M40" s="39">
        <f>高级兑换道具礼包2</f>
        <v>110</v>
      </c>
      <c r="N40" s="4">
        <v>0</v>
      </c>
      <c r="O40" s="39">
        <f>高级兑换道具礼包2</f>
        <v>110</v>
      </c>
      <c r="P40" s="4">
        <v>0</v>
      </c>
      <c r="R40" s="162"/>
    </row>
    <row r="41" spans="2:18" ht="31.2">
      <c r="B41" s="85" t="str">
        <f>高级兑换道具 &amp; "礼包Ⅲ"</f>
        <v>蜜橙棒棒糖礼包Ⅲ</v>
      </c>
      <c r="C41" s="39">
        <f>高级兑换道具礼包3</f>
        <v>275</v>
      </c>
      <c r="D41" s="4">
        <v>0</v>
      </c>
      <c r="E41" s="39">
        <f>高级兑换道具礼包3</f>
        <v>275</v>
      </c>
      <c r="F41" s="4">
        <v>0</v>
      </c>
      <c r="G41" s="39">
        <f>高级兑换道具礼包3</f>
        <v>275</v>
      </c>
      <c r="H41" s="4">
        <v>0</v>
      </c>
      <c r="I41" s="39">
        <f>高级兑换道具礼包3</f>
        <v>275</v>
      </c>
      <c r="J41" s="4">
        <v>0</v>
      </c>
      <c r="K41" s="39">
        <f>高级兑换道具礼包3</f>
        <v>275</v>
      </c>
      <c r="L41" s="4">
        <v>0</v>
      </c>
      <c r="M41" s="39">
        <f>高级兑换道具礼包3</f>
        <v>275</v>
      </c>
      <c r="N41" s="4">
        <v>0</v>
      </c>
      <c r="O41" s="39">
        <f>高级兑换道具礼包3</f>
        <v>275</v>
      </c>
      <c r="P41" s="4">
        <v>0</v>
      </c>
      <c r="R41" s="162"/>
    </row>
    <row r="42" spans="2:18" ht="31.8" thickBot="1">
      <c r="B42" s="86" t="str">
        <f>高级兑换道具 &amp; "礼包Ⅳ"</f>
        <v>蜜橙棒棒糖礼包Ⅳ</v>
      </c>
      <c r="C42" s="57">
        <f>高级兑换道具礼包4</f>
        <v>550</v>
      </c>
      <c r="D42" s="12">
        <v>0</v>
      </c>
      <c r="E42" s="57">
        <f>高级兑换道具礼包4</f>
        <v>550</v>
      </c>
      <c r="F42" s="12">
        <v>0</v>
      </c>
      <c r="G42" s="57">
        <f>高级兑换道具礼包4</f>
        <v>550</v>
      </c>
      <c r="H42" s="12">
        <v>0</v>
      </c>
      <c r="I42" s="57">
        <f>高级兑换道具礼包4</f>
        <v>550</v>
      </c>
      <c r="J42" s="12">
        <v>0</v>
      </c>
      <c r="K42" s="57">
        <f>高级兑换道具礼包4</f>
        <v>550</v>
      </c>
      <c r="L42" s="12">
        <v>0</v>
      </c>
      <c r="M42" s="57">
        <f>高级兑换道具礼包4</f>
        <v>550</v>
      </c>
      <c r="N42" s="12">
        <v>0</v>
      </c>
      <c r="O42" s="57">
        <f>高级兑换道具礼包4</f>
        <v>550</v>
      </c>
      <c r="P42" s="12">
        <v>0</v>
      </c>
      <c r="R42" s="162"/>
    </row>
    <row r="43" spans="2:18" ht="16.8" thickTop="1" thickBot="1">
      <c r="B43" s="175" t="s">
        <v>89</v>
      </c>
      <c r="C43" s="57" t="s">
        <v>92</v>
      </c>
      <c r="D43" s="12">
        <v>0</v>
      </c>
      <c r="E43" s="57" t="s">
        <v>92</v>
      </c>
      <c r="F43" s="12">
        <v>0</v>
      </c>
      <c r="G43" s="57" t="s">
        <v>92</v>
      </c>
      <c r="H43" s="12">
        <v>0</v>
      </c>
      <c r="I43" s="57" t="s">
        <v>92</v>
      </c>
      <c r="J43" s="12">
        <v>0</v>
      </c>
      <c r="K43" s="57" t="s">
        <v>92</v>
      </c>
      <c r="L43" s="12">
        <v>0</v>
      </c>
      <c r="M43" s="57" t="s">
        <v>92</v>
      </c>
      <c r="N43" s="12">
        <v>0</v>
      </c>
      <c r="O43" s="57" t="s">
        <v>92</v>
      </c>
      <c r="P43" s="12">
        <v>0</v>
      </c>
      <c r="R43" s="162"/>
    </row>
    <row r="44" spans="2:18" ht="16.8" thickTop="1" thickBot="1">
      <c r="B44" s="176"/>
      <c r="C44" s="67" t="s">
        <v>91</v>
      </c>
      <c r="D44" s="68">
        <v>0</v>
      </c>
      <c r="E44" s="67" t="s">
        <v>91</v>
      </c>
      <c r="F44" s="68">
        <v>0</v>
      </c>
      <c r="G44" s="67" t="s">
        <v>91</v>
      </c>
      <c r="H44" s="68">
        <v>0</v>
      </c>
      <c r="I44" s="67" t="s">
        <v>91</v>
      </c>
      <c r="J44" s="68">
        <v>0</v>
      </c>
      <c r="K44" s="67" t="s">
        <v>91</v>
      </c>
      <c r="L44" s="68">
        <v>0</v>
      </c>
      <c r="M44" s="67" t="s">
        <v>91</v>
      </c>
      <c r="N44" s="68">
        <v>0</v>
      </c>
      <c r="O44" s="67" t="s">
        <v>91</v>
      </c>
      <c r="P44" s="68">
        <v>0</v>
      </c>
      <c r="R44" s="163"/>
    </row>
    <row r="45" spans="2:18" ht="23.4" customHeight="1" thickTop="1" thickBot="1">
      <c r="B45" s="89" t="s">
        <v>94</v>
      </c>
      <c r="C45" s="177"/>
      <c r="D45" s="165"/>
      <c r="E45" s="164"/>
      <c r="F45" s="165"/>
      <c r="G45" s="164"/>
      <c r="H45" s="165"/>
      <c r="I45" s="164"/>
      <c r="J45" s="165"/>
      <c r="K45" s="164"/>
      <c r="L45" s="165"/>
      <c r="M45" s="164"/>
      <c r="N45" s="165"/>
      <c r="O45" s="164" t="s">
        <v>100</v>
      </c>
      <c r="P45" s="165"/>
      <c r="R45" s="91" t="s">
        <v>110</v>
      </c>
    </row>
    <row r="46" spans="2:18" ht="30" customHeight="1" thickTop="1">
      <c r="B46" s="87" t="s">
        <v>95</v>
      </c>
      <c r="C46" s="166" t="s">
        <v>194</v>
      </c>
      <c r="D46" s="167"/>
      <c r="E46" s="166" t="s">
        <v>197</v>
      </c>
      <c r="F46" s="167"/>
      <c r="G46" s="166" t="s">
        <v>197</v>
      </c>
      <c r="H46" s="167"/>
      <c r="I46" s="166" t="s">
        <v>197</v>
      </c>
      <c r="J46" s="167"/>
      <c r="K46" s="166" t="s">
        <v>197</v>
      </c>
      <c r="L46" s="167"/>
      <c r="M46" s="166" t="s">
        <v>197</v>
      </c>
      <c r="N46" s="167"/>
      <c r="O46" s="166" t="s">
        <v>197</v>
      </c>
      <c r="P46" s="167"/>
      <c r="R46" s="161" t="s">
        <v>111</v>
      </c>
    </row>
    <row r="47" spans="2:18" ht="30" customHeight="1">
      <c r="B47" s="87" t="s">
        <v>96</v>
      </c>
      <c r="C47" s="166" t="s">
        <v>195</v>
      </c>
      <c r="D47" s="167"/>
      <c r="E47" s="166" t="s">
        <v>195</v>
      </c>
      <c r="F47" s="167"/>
      <c r="G47" s="166" t="s">
        <v>195</v>
      </c>
      <c r="H47" s="167"/>
      <c r="I47" s="166" t="s">
        <v>195</v>
      </c>
      <c r="J47" s="167"/>
      <c r="K47" s="166" t="s">
        <v>195</v>
      </c>
      <c r="L47" s="167"/>
      <c r="M47" s="166" t="s">
        <v>195</v>
      </c>
      <c r="N47" s="167"/>
      <c r="O47" s="166" t="s">
        <v>223</v>
      </c>
      <c r="P47" s="167"/>
      <c r="R47" s="162"/>
    </row>
    <row r="48" spans="2:18" ht="30" customHeight="1">
      <c r="B48" s="87" t="s">
        <v>97</v>
      </c>
      <c r="C48" s="166" t="s">
        <v>196</v>
      </c>
      <c r="D48" s="167"/>
      <c r="E48" s="166" t="s">
        <v>196</v>
      </c>
      <c r="F48" s="167"/>
      <c r="G48" s="166" t="s">
        <v>196</v>
      </c>
      <c r="H48" s="167"/>
      <c r="I48" s="166" t="s">
        <v>196</v>
      </c>
      <c r="J48" s="167"/>
      <c r="K48" s="166" t="s">
        <v>196</v>
      </c>
      <c r="L48" s="167"/>
      <c r="M48" s="166" t="s">
        <v>198</v>
      </c>
      <c r="N48" s="167"/>
      <c r="O48" s="166" t="s">
        <v>199</v>
      </c>
      <c r="P48" s="167"/>
      <c r="R48" s="162"/>
    </row>
    <row r="49" spans="2:19" ht="30" customHeight="1">
      <c r="B49" s="87" t="s">
        <v>98</v>
      </c>
      <c r="C49" s="166"/>
      <c r="D49" s="167"/>
      <c r="E49" s="166"/>
      <c r="F49" s="167"/>
      <c r="G49" s="166"/>
      <c r="H49" s="167"/>
      <c r="I49" s="166"/>
      <c r="J49" s="167"/>
      <c r="K49" s="166"/>
      <c r="L49" s="167"/>
      <c r="M49" s="166"/>
      <c r="N49" s="167"/>
      <c r="O49" s="166" t="s">
        <v>201</v>
      </c>
      <c r="P49" s="167"/>
      <c r="R49" s="162"/>
    </row>
    <row r="50" spans="2:19" ht="30" customHeight="1" thickBot="1">
      <c r="B50" s="90" t="s">
        <v>99</v>
      </c>
      <c r="C50" s="166"/>
      <c r="D50" s="167"/>
      <c r="E50" s="166"/>
      <c r="F50" s="167"/>
      <c r="G50" s="166"/>
      <c r="H50" s="167"/>
      <c r="I50" s="166"/>
      <c r="J50" s="167"/>
      <c r="K50" s="166"/>
      <c r="L50" s="167"/>
      <c r="M50" s="166"/>
      <c r="N50" s="167"/>
      <c r="O50" s="166" t="s">
        <v>202</v>
      </c>
      <c r="P50" s="167"/>
      <c r="Q50" s="23"/>
      <c r="R50" s="163"/>
      <c r="S50" s="23"/>
    </row>
    <row r="51" spans="2:19" ht="17.399999999999999" thickTop="1" thickBot="1">
      <c r="B51" s="171" t="s">
        <v>34</v>
      </c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3"/>
      <c r="R51" s="6"/>
      <c r="S51" s="6"/>
    </row>
    <row r="52" spans="2:19" ht="19.95" customHeight="1" thickTop="1" thickBot="1">
      <c r="B52" s="158" t="s">
        <v>203</v>
      </c>
      <c r="C52" s="159"/>
      <c r="D52" s="159"/>
      <c r="E52" s="159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60"/>
      <c r="R52" s="161" t="s">
        <v>112</v>
      </c>
      <c r="S52" s="6"/>
    </row>
    <row r="53" spans="2:19" ht="19.95" customHeight="1" thickTop="1" thickBot="1">
      <c r="B53" s="158" t="s">
        <v>222</v>
      </c>
      <c r="C53" s="159"/>
      <c r="D53" s="159"/>
      <c r="E53" s="159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60"/>
      <c r="R53" s="162"/>
      <c r="S53" s="6"/>
    </row>
    <row r="54" spans="2:19" ht="19.95" customHeight="1" thickTop="1" thickBot="1">
      <c r="B54" s="158" t="s">
        <v>221</v>
      </c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60"/>
      <c r="R54" s="162"/>
      <c r="S54" s="6"/>
    </row>
    <row r="55" spans="2:19" ht="19.95" customHeight="1" thickTop="1" thickBot="1">
      <c r="B55" s="158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60"/>
      <c r="R55" s="163"/>
    </row>
    <row r="56" spans="2:19" ht="16.2" thickTop="1">
      <c r="F56" s="6"/>
      <c r="G56" s="6"/>
      <c r="H56" s="6"/>
      <c r="K56" s="6"/>
      <c r="M56" s="6"/>
      <c r="N56" s="6"/>
      <c r="O56" s="6"/>
      <c r="P56" s="6"/>
    </row>
    <row r="57" spans="2:19">
      <c r="B57" s="88"/>
      <c r="C57" s="88"/>
      <c r="D57" s="88"/>
      <c r="K57" s="174"/>
      <c r="L57" s="174"/>
      <c r="M57" s="174"/>
      <c r="N57" s="174"/>
    </row>
    <row r="58" spans="2:19">
      <c r="K58" s="6"/>
      <c r="M58" s="6"/>
      <c r="N58" s="6"/>
      <c r="P58" s="23"/>
    </row>
    <row r="59" spans="2:19">
      <c r="K59" s="6"/>
      <c r="M59" s="6"/>
      <c r="N59" s="6"/>
      <c r="P59" s="23"/>
    </row>
    <row r="60" spans="2:19">
      <c r="K60" s="6"/>
      <c r="M60" s="6"/>
      <c r="N60" s="6"/>
      <c r="P60" s="23"/>
    </row>
    <row r="61" spans="2:19">
      <c r="B61" s="88"/>
      <c r="C61" s="88"/>
      <c r="D61" s="88"/>
      <c r="K61" s="6"/>
      <c r="M61" s="6"/>
      <c r="N61" s="6"/>
      <c r="P61" s="23"/>
    </row>
    <row r="62" spans="2:19">
      <c r="K62" s="6"/>
      <c r="M62" s="6"/>
      <c r="N62" s="6"/>
      <c r="P62" s="23"/>
    </row>
    <row r="63" spans="2:19">
      <c r="K63" s="6"/>
      <c r="M63" s="6"/>
      <c r="N63" s="6"/>
      <c r="P63" s="23"/>
    </row>
    <row r="64" spans="2:19">
      <c r="K64" s="6"/>
      <c r="M64" s="6"/>
      <c r="N64" s="6"/>
      <c r="P64" s="23"/>
    </row>
    <row r="65" spans="11:16">
      <c r="K65" s="6"/>
      <c r="M65" s="6"/>
      <c r="N65" s="6"/>
      <c r="P65" s="23"/>
    </row>
    <row r="66" spans="11:16">
      <c r="P66" s="23"/>
    </row>
    <row r="67" spans="11:16">
      <c r="P67" s="23"/>
    </row>
    <row r="68" spans="11:16">
      <c r="P68" s="23"/>
    </row>
    <row r="69" spans="11:16">
      <c r="P69" s="23"/>
    </row>
    <row r="70" spans="11:16">
      <c r="P70" s="23"/>
    </row>
    <row r="71" spans="11:16">
      <c r="P71" s="23"/>
    </row>
    <row r="72" spans="11:16">
      <c r="P72" s="23"/>
    </row>
    <row r="73" spans="11:16">
      <c r="P73" s="23"/>
    </row>
    <row r="74" spans="11:16">
      <c r="P74" s="23"/>
    </row>
    <row r="75" spans="11:16">
      <c r="P75" s="23"/>
    </row>
    <row r="76" spans="11:16">
      <c r="P76" s="23"/>
    </row>
    <row r="77" spans="11:16">
      <c r="P77" s="23"/>
    </row>
    <row r="78" spans="11:16">
      <c r="P78" s="23"/>
    </row>
    <row r="79" spans="11:16">
      <c r="P79" s="23"/>
    </row>
    <row r="80" spans="11:16">
      <c r="P80" s="23"/>
    </row>
    <row r="81" spans="16:16">
      <c r="P81" s="23"/>
    </row>
  </sheetData>
  <mergeCells count="66">
    <mergeCell ref="O6:P6"/>
    <mergeCell ref="I6:J6"/>
    <mergeCell ref="K6:L6"/>
    <mergeCell ref="M6:N6"/>
    <mergeCell ref="C6:D6"/>
    <mergeCell ref="E6:F6"/>
    <mergeCell ref="G6:H6"/>
    <mergeCell ref="C5:P5"/>
    <mergeCell ref="B3:B4"/>
    <mergeCell ref="C4:P4"/>
    <mergeCell ref="I3:L3"/>
    <mergeCell ref="M3:P3"/>
    <mergeCell ref="C3:H3"/>
    <mergeCell ref="K57:N57"/>
    <mergeCell ref="B43:B44"/>
    <mergeCell ref="C46:D46"/>
    <mergeCell ref="C45:D45"/>
    <mergeCell ref="C47:D47"/>
    <mergeCell ref="C48:D48"/>
    <mergeCell ref="C49:D49"/>
    <mergeCell ref="C50:D50"/>
    <mergeCell ref="E45:F45"/>
    <mergeCell ref="E46:F46"/>
    <mergeCell ref="E47:F47"/>
    <mergeCell ref="E48:F48"/>
    <mergeCell ref="I49:J49"/>
    <mergeCell ref="E49:F49"/>
    <mergeCell ref="E50:F50"/>
    <mergeCell ref="G45:H45"/>
    <mergeCell ref="G46:H46"/>
    <mergeCell ref="G47:H47"/>
    <mergeCell ref="G48:H48"/>
    <mergeCell ref="G50:H50"/>
    <mergeCell ref="G49:H49"/>
    <mergeCell ref="B2:P2"/>
    <mergeCell ref="B51:P51"/>
    <mergeCell ref="B52:P52"/>
    <mergeCell ref="M50:N50"/>
    <mergeCell ref="O45:P45"/>
    <mergeCell ref="O46:P46"/>
    <mergeCell ref="O47:P47"/>
    <mergeCell ref="O48:P48"/>
    <mergeCell ref="O49:P49"/>
    <mergeCell ref="O50:P50"/>
    <mergeCell ref="M45:N45"/>
    <mergeCell ref="M46:N46"/>
    <mergeCell ref="M47:N47"/>
    <mergeCell ref="M48:N48"/>
    <mergeCell ref="M49:N49"/>
    <mergeCell ref="I50:J50"/>
    <mergeCell ref="B53:P53"/>
    <mergeCell ref="B54:P54"/>
    <mergeCell ref="B55:P55"/>
    <mergeCell ref="R31:R44"/>
    <mergeCell ref="R46:R50"/>
    <mergeCell ref="R52:R55"/>
    <mergeCell ref="K45:L45"/>
    <mergeCell ref="K46:L46"/>
    <mergeCell ref="K47:L47"/>
    <mergeCell ref="K48:L48"/>
    <mergeCell ref="K49:L49"/>
    <mergeCell ref="K50:L50"/>
    <mergeCell ref="I45:J45"/>
    <mergeCell ref="I46:J46"/>
    <mergeCell ref="I47:J47"/>
    <mergeCell ref="I48:J48"/>
  </mergeCells>
  <phoneticPr fontId="7" type="noConversion"/>
  <conditionalFormatting sqref="B10:P10">
    <cfRule type="cellIs" dxfId="23" priority="9" operator="greaterThan">
      <formula>0</formula>
    </cfRule>
  </conditionalFormatting>
  <conditionalFormatting sqref="B13:P13">
    <cfRule type="cellIs" dxfId="22" priority="3" operator="greaterThan">
      <formula>0</formula>
    </cfRule>
  </conditionalFormatting>
  <conditionalFormatting sqref="B14:P14">
    <cfRule type="cellIs" dxfId="21" priority="6" operator="greaterThan">
      <formula>0</formula>
    </cfRule>
  </conditionalFormatting>
  <conditionalFormatting sqref="C11:P11">
    <cfRule type="cellIs" dxfId="20" priority="7" operator="greaterThan">
      <formula>0</formula>
    </cfRule>
  </conditionalFormatting>
  <conditionalFormatting sqref="C15:P15 D31:D37 F31:F37 H31:H37 J31:J37 L31:L37 N31:N37 P31:P37">
    <cfRule type="cellIs" dxfId="19" priority="5" operator="greaterThan">
      <formula>0</formula>
    </cfRule>
  </conditionalFormatting>
  <conditionalFormatting sqref="C15:P16">
    <cfRule type="cellIs" dxfId="18" priority="8" operator="greaterThan">
      <formula>0</formula>
    </cfRule>
  </conditionalFormatting>
  <conditionalFormatting sqref="C17:P17">
    <cfRule type="cellIs" dxfId="17" priority="14" operator="greaterThan">
      <formula>0</formula>
    </cfRule>
  </conditionalFormatting>
  <conditionalFormatting sqref="C19:P19">
    <cfRule type="cellIs" dxfId="16" priority="11" operator="greaterThan">
      <formula>0</formula>
    </cfRule>
  </conditionalFormatting>
  <conditionalFormatting sqref="C21:P21">
    <cfRule type="cellIs" dxfId="15" priority="13" operator="greaterThan">
      <formula>0</formula>
    </cfRule>
  </conditionalFormatting>
  <conditionalFormatting sqref="C22:P22 D39:D42 F39:F42 H39:H42 J39:J42 L39:L42 N39:N42 P39:P42">
    <cfRule type="cellIs" dxfId="14" priority="4" operator="greaterThan">
      <formula>0</formula>
    </cfRule>
  </conditionalFormatting>
  <conditionalFormatting sqref="D43 F43 H43 J43 L43 N43 P43">
    <cfRule type="cellIs" dxfId="13" priority="1" operator="greaterThan">
      <formula>0</formula>
    </cfRule>
  </conditionalFormatting>
  <conditionalFormatting sqref="D44 F44 H44 J44 L44 N44 P44">
    <cfRule type="cellIs" dxfId="12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A5105-86FB-4916-B695-65F4C6E74DDC}">
  <dimension ref="B1:T81"/>
  <sheetViews>
    <sheetView tabSelected="1" zoomScaleNormal="100" workbookViewId="0">
      <selection activeCell="K56" sqref="K56"/>
    </sheetView>
  </sheetViews>
  <sheetFormatPr defaultRowHeight="15.6"/>
  <cols>
    <col min="1" max="1" width="3.77734375" style="1" customWidth="1"/>
    <col min="2" max="2" width="14.88671875" style="1" bestFit="1" customWidth="1"/>
    <col min="3" max="16" width="9.5546875" style="1" bestFit="1" customWidth="1"/>
    <col min="17" max="17" width="7.77734375" style="1" customWidth="1"/>
    <col min="18" max="18" width="21.6640625" style="1" customWidth="1"/>
    <col min="19" max="19" width="9.88671875" style="1" customWidth="1"/>
    <col min="20" max="20" width="11" style="1" customWidth="1"/>
    <col min="21" max="21" width="14.6640625" style="1" customWidth="1"/>
    <col min="22" max="23" width="8.88671875" style="1"/>
    <col min="24" max="24" width="10.6640625" style="1" customWidth="1"/>
    <col min="25" max="16384" width="8.88671875" style="1"/>
  </cols>
  <sheetData>
    <row r="1" spans="2:20" ht="16.2" thickBot="1">
      <c r="R1" s="1" t="s">
        <v>102</v>
      </c>
      <c r="S1" s="1" t="s">
        <v>114</v>
      </c>
    </row>
    <row r="2" spans="2:20" ht="28.2" customHeight="1" thickTop="1" thickBot="1">
      <c r="B2" s="168" t="s">
        <v>233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70"/>
      <c r="R2" s="116" t="s">
        <v>101</v>
      </c>
    </row>
    <row r="3" spans="2:20" ht="24" thickTop="1">
      <c r="B3" s="181" t="s">
        <v>78</v>
      </c>
      <c r="C3" s="189" t="str">
        <f>SUM(C10,E10,G10,I10,K10,M10,O10)*钻石购买 &amp;"钻石"</f>
        <v>98000钻石</v>
      </c>
      <c r="D3" s="190"/>
      <c r="E3" s="190"/>
      <c r="F3" s="190"/>
      <c r="G3" s="190"/>
      <c r="H3" s="190"/>
      <c r="I3" s="186" t="str">
        <f>SUMPRODUCT(D31:D37+F31:F37+H31:H37+J31:J37+L31:L37+N31:N37+P31:P37,抽奖道具礼包价格)
+SUMPRODUCT(D39:D42+F39:F42+H39:H42+J39:J42+L39:L42+N39:N42+P39:P42,高级兑换道具礼包价格)
+SUM(D44,F44,H44,J44,L44,N44,P44)*氪金基金价格 &amp;"元"</f>
        <v>776元</v>
      </c>
      <c r="J3" s="186"/>
      <c r="K3" s="186"/>
      <c r="L3" s="186"/>
      <c r="M3" s="187" t="str">
        <f>SUMPRODUCT(D31:D37+F31:F37+H31:H37+J31:J37+L31:L37+N31:N37+P31:P37,抽奖道具礼包翡翠)
+SUMPRODUCT(D39:D42+F39:F42+H39:H42+J39:J42+L39:L42+N39:N42+P39:P42,高级兑换道具礼包翡翠)
+SUM(D44,F44,H44,J44,L44,N44,P44)*氪金基金翡翠 &amp; "翡翠"</f>
        <v>12000翡翠</v>
      </c>
      <c r="N3" s="187"/>
      <c r="O3" s="187"/>
      <c r="P3" s="188"/>
    </row>
    <row r="4" spans="2:20" ht="21" thickBot="1">
      <c r="B4" s="182"/>
      <c r="C4" s="183" t="str">
        <f>"最终收益："&amp;ROUNDDOWN(O29,0)&amp;B29&amp;"+"&amp;ROUNDDOWN(O28,0)&amp;B28</f>
        <v>最终收益：2203蜜橙棒棒糖+20384紫晶棒棒糖</v>
      </c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5"/>
    </row>
    <row r="5" spans="2:20" ht="21.6" thickTop="1" thickBot="1">
      <c r="B5" s="30" t="s">
        <v>93</v>
      </c>
      <c r="C5" s="178" t="s">
        <v>224</v>
      </c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80"/>
      <c r="R5" s="116" t="s">
        <v>93</v>
      </c>
    </row>
    <row r="6" spans="2:20" ht="16.8" thickTop="1" thickBot="1">
      <c r="B6" s="66" t="s">
        <v>77</v>
      </c>
      <c r="C6" s="191" t="s">
        <v>24</v>
      </c>
      <c r="D6" s="192"/>
      <c r="E6" s="191" t="s">
        <v>25</v>
      </c>
      <c r="F6" s="192"/>
      <c r="G6" s="191" t="s">
        <v>26</v>
      </c>
      <c r="H6" s="192"/>
      <c r="I6" s="191" t="s">
        <v>27</v>
      </c>
      <c r="J6" s="192"/>
      <c r="K6" s="191" t="s">
        <v>28</v>
      </c>
      <c r="L6" s="192"/>
      <c r="M6" s="191" t="s">
        <v>29</v>
      </c>
      <c r="N6" s="192"/>
      <c r="O6" s="191" t="s">
        <v>30</v>
      </c>
      <c r="P6" s="192"/>
      <c r="R6" s="6"/>
      <c r="S6" s="23"/>
      <c r="T6" s="23"/>
    </row>
    <row r="7" spans="2:20" ht="16.8" thickTop="1" thickBot="1">
      <c r="B7" s="13" t="s">
        <v>79</v>
      </c>
      <c r="C7" s="67" t="str">
        <f>抽奖道具</f>
        <v>糖果币</v>
      </c>
      <c r="D7" s="68" t="s">
        <v>6</v>
      </c>
      <c r="E7" s="67" t="str">
        <f>抽奖道具</f>
        <v>糖果币</v>
      </c>
      <c r="F7" s="68" t="s">
        <v>6</v>
      </c>
      <c r="G7" s="67" t="str">
        <f>抽奖道具</f>
        <v>糖果币</v>
      </c>
      <c r="H7" s="68" t="s">
        <v>6</v>
      </c>
      <c r="I7" s="67" t="str">
        <f>抽奖道具</f>
        <v>糖果币</v>
      </c>
      <c r="J7" s="68" t="s">
        <v>6</v>
      </c>
      <c r="K7" s="67" t="str">
        <f>抽奖道具</f>
        <v>糖果币</v>
      </c>
      <c r="L7" s="68" t="s">
        <v>6</v>
      </c>
      <c r="M7" s="67" t="str">
        <f>抽奖道具</f>
        <v>糖果币</v>
      </c>
      <c r="N7" s="68" t="s">
        <v>6</v>
      </c>
      <c r="O7" s="67" t="str">
        <f>抽奖道具</f>
        <v>糖果币</v>
      </c>
      <c r="P7" s="68" t="s">
        <v>6</v>
      </c>
      <c r="R7" s="6"/>
      <c r="S7" s="23"/>
      <c r="T7" s="23"/>
    </row>
    <row r="8" spans="2:20" ht="16.2" thickTop="1">
      <c r="B8" s="33" t="s">
        <v>39</v>
      </c>
      <c r="C8" s="3">
        <f>首次登录抽奖道具数量</f>
        <v>3</v>
      </c>
      <c r="D8" s="4">
        <f t="shared" ref="D8:P16" si="0">C8*积分规则1</f>
        <v>75</v>
      </c>
      <c r="E8" s="3"/>
      <c r="F8" s="4">
        <f t="shared" ref="F8:F16" si="1">E8*积分规则1</f>
        <v>0</v>
      </c>
      <c r="G8" s="3"/>
      <c r="H8" s="4">
        <f t="shared" ref="H8:H16" si="2">G8*积分规则1</f>
        <v>0</v>
      </c>
      <c r="I8" s="3"/>
      <c r="J8" s="4">
        <f t="shared" ref="J8:J16" si="3">I8*积分规则1</f>
        <v>0</v>
      </c>
      <c r="K8" s="3"/>
      <c r="L8" s="4">
        <f t="shared" ref="L8:L16" si="4">K8*积分规则1</f>
        <v>0</v>
      </c>
      <c r="M8" s="3"/>
      <c r="N8" s="4">
        <f t="shared" ref="N8:N16" si="5">M8*积分规则1</f>
        <v>0</v>
      </c>
      <c r="O8" s="3"/>
      <c r="P8" s="4">
        <f t="shared" ref="P8:P16" si="6">O8*积分规则1</f>
        <v>0</v>
      </c>
      <c r="R8" s="6"/>
      <c r="S8" s="23"/>
      <c r="T8" s="23"/>
    </row>
    <row r="9" spans="2:20" ht="16.2" thickBot="1">
      <c r="B9" s="13" t="s">
        <v>31</v>
      </c>
      <c r="C9" s="3">
        <f>每日任务抽奖道具数量</f>
        <v>26</v>
      </c>
      <c r="D9" s="4">
        <f t="shared" si="0"/>
        <v>650</v>
      </c>
      <c r="E9" s="3">
        <f>每日任务抽奖道具数量</f>
        <v>26</v>
      </c>
      <c r="F9" s="4">
        <f t="shared" si="1"/>
        <v>650</v>
      </c>
      <c r="G9" s="3">
        <f>每日任务抽奖道具数量</f>
        <v>26</v>
      </c>
      <c r="H9" s="4">
        <f t="shared" si="2"/>
        <v>650</v>
      </c>
      <c r="I9" s="3">
        <f>每日任务抽奖道具数量</f>
        <v>26</v>
      </c>
      <c r="J9" s="4">
        <f t="shared" si="3"/>
        <v>650</v>
      </c>
      <c r="K9" s="3">
        <f>每日任务抽奖道具数量</f>
        <v>26</v>
      </c>
      <c r="L9" s="4">
        <f t="shared" si="4"/>
        <v>650</v>
      </c>
      <c r="M9" s="3">
        <f>每日任务抽奖道具数量</f>
        <v>26</v>
      </c>
      <c r="N9" s="4">
        <f t="shared" si="5"/>
        <v>650</v>
      </c>
      <c r="O9" s="3">
        <f>每日任务抽奖道具数量</f>
        <v>26</v>
      </c>
      <c r="P9" s="4">
        <f t="shared" si="6"/>
        <v>650</v>
      </c>
    </row>
    <row r="10" spans="2:20" ht="16.8" thickTop="1" thickBot="1">
      <c r="B10" s="14" t="s">
        <v>17</v>
      </c>
      <c r="C10" s="3">
        <v>70</v>
      </c>
      <c r="D10" s="4">
        <f t="shared" si="0"/>
        <v>1750</v>
      </c>
      <c r="E10" s="3">
        <v>70</v>
      </c>
      <c r="F10" s="4">
        <f t="shared" si="1"/>
        <v>1750</v>
      </c>
      <c r="G10" s="3">
        <v>70</v>
      </c>
      <c r="H10" s="4">
        <f t="shared" si="2"/>
        <v>1750</v>
      </c>
      <c r="I10" s="3">
        <v>70</v>
      </c>
      <c r="J10" s="4">
        <f t="shared" si="3"/>
        <v>1750</v>
      </c>
      <c r="K10" s="3">
        <v>70</v>
      </c>
      <c r="L10" s="4">
        <f t="shared" si="4"/>
        <v>1750</v>
      </c>
      <c r="M10" s="3">
        <v>70</v>
      </c>
      <c r="N10" s="4">
        <f t="shared" si="5"/>
        <v>1750</v>
      </c>
      <c r="O10" s="3">
        <v>70</v>
      </c>
      <c r="P10" s="4">
        <f t="shared" si="6"/>
        <v>1750</v>
      </c>
      <c r="R10" s="116" t="s">
        <v>107</v>
      </c>
    </row>
    <row r="11" spans="2:20" ht="16.8" thickTop="1" thickBot="1">
      <c r="B11" s="35" t="s">
        <v>35</v>
      </c>
      <c r="C11" s="3">
        <f>D43*免费基金抽奖道具</f>
        <v>0</v>
      </c>
      <c r="D11" s="4">
        <f t="shared" si="0"/>
        <v>0</v>
      </c>
      <c r="E11" s="3">
        <f>F43*免费基金抽奖道具</f>
        <v>0</v>
      </c>
      <c r="F11" s="4">
        <f t="shared" si="1"/>
        <v>0</v>
      </c>
      <c r="G11" s="3">
        <f>H43*免费基金抽奖道具</f>
        <v>0</v>
      </c>
      <c r="H11" s="4">
        <f t="shared" si="2"/>
        <v>0</v>
      </c>
      <c r="I11" s="3">
        <f>J43*免费基金抽奖道具</f>
        <v>0</v>
      </c>
      <c r="J11" s="4">
        <f t="shared" si="3"/>
        <v>0</v>
      </c>
      <c r="K11" s="3">
        <f>L43*免费基金抽奖道具</f>
        <v>0</v>
      </c>
      <c r="L11" s="4">
        <f t="shared" si="4"/>
        <v>0</v>
      </c>
      <c r="M11" s="3">
        <f>N43*免费基金抽奖道具</f>
        <v>0</v>
      </c>
      <c r="N11" s="4">
        <f t="shared" si="5"/>
        <v>0</v>
      </c>
      <c r="O11" s="3">
        <f>P43*免费基金抽奖道具</f>
        <v>0</v>
      </c>
      <c r="P11" s="4">
        <f t="shared" si="6"/>
        <v>0</v>
      </c>
    </row>
    <row r="12" spans="2:20" ht="16.2" thickTop="1">
      <c r="B12" s="13" t="s">
        <v>36</v>
      </c>
      <c r="C12" s="3">
        <v>5</v>
      </c>
      <c r="D12" s="4">
        <f t="shared" si="0"/>
        <v>125</v>
      </c>
      <c r="E12" s="3">
        <v>5</v>
      </c>
      <c r="F12" s="4">
        <f t="shared" si="1"/>
        <v>125</v>
      </c>
      <c r="G12" s="3">
        <v>5</v>
      </c>
      <c r="H12" s="4">
        <f t="shared" si="2"/>
        <v>125</v>
      </c>
      <c r="I12" s="3">
        <v>5</v>
      </c>
      <c r="J12" s="4">
        <f t="shared" si="3"/>
        <v>125</v>
      </c>
      <c r="K12" s="3">
        <v>5</v>
      </c>
      <c r="L12" s="4">
        <f t="shared" si="4"/>
        <v>125</v>
      </c>
      <c r="M12" s="3">
        <v>5</v>
      </c>
      <c r="N12" s="4">
        <f t="shared" si="5"/>
        <v>125</v>
      </c>
      <c r="O12" s="3">
        <v>0</v>
      </c>
      <c r="P12" s="4">
        <f t="shared" si="6"/>
        <v>0</v>
      </c>
    </row>
    <row r="13" spans="2:20">
      <c r="B13" s="3" t="s">
        <v>42</v>
      </c>
      <c r="C13" s="3">
        <f>每日广告抽奖道具数量</f>
        <v>0</v>
      </c>
      <c r="D13" s="4">
        <f t="shared" si="0"/>
        <v>0</v>
      </c>
      <c r="E13" s="3">
        <f>每日广告抽奖道具数量</f>
        <v>0</v>
      </c>
      <c r="F13" s="4">
        <f t="shared" si="0"/>
        <v>0</v>
      </c>
      <c r="G13" s="3">
        <f>每日广告抽奖道具数量</f>
        <v>0</v>
      </c>
      <c r="H13" s="4">
        <f t="shared" si="0"/>
        <v>0</v>
      </c>
      <c r="I13" s="3">
        <f>每日广告抽奖道具数量</f>
        <v>0</v>
      </c>
      <c r="J13" s="4">
        <f t="shared" si="0"/>
        <v>0</v>
      </c>
      <c r="K13" s="3">
        <f>每日广告抽奖道具数量</f>
        <v>0</v>
      </c>
      <c r="L13" s="4">
        <f t="shared" si="0"/>
        <v>0</v>
      </c>
      <c r="M13" s="3">
        <f>每日广告抽奖道具数量</f>
        <v>0</v>
      </c>
      <c r="N13" s="4">
        <f t="shared" si="0"/>
        <v>0</v>
      </c>
      <c r="O13" s="3">
        <f>每日广告抽奖道具数量</f>
        <v>0</v>
      </c>
      <c r="P13" s="4">
        <f t="shared" si="0"/>
        <v>0</v>
      </c>
    </row>
    <row r="14" spans="2:20" ht="16.2" thickBot="1">
      <c r="B14" s="34" t="s">
        <v>65</v>
      </c>
      <c r="C14" s="3">
        <v>0</v>
      </c>
      <c r="D14" s="4">
        <f>C14*积分规则1</f>
        <v>0</v>
      </c>
      <c r="E14" s="3">
        <v>0</v>
      </c>
      <c r="F14" s="4">
        <f>E14*积分规则1</f>
        <v>0</v>
      </c>
      <c r="G14" s="3">
        <v>0</v>
      </c>
      <c r="H14" s="4">
        <f>G14*积分规则1</f>
        <v>0</v>
      </c>
      <c r="I14" s="3">
        <v>0</v>
      </c>
      <c r="J14" s="4">
        <f>I14*积分规则1</f>
        <v>0</v>
      </c>
      <c r="K14" s="3">
        <v>0</v>
      </c>
      <c r="L14" s="4">
        <f>K14*积分规则1</f>
        <v>0</v>
      </c>
      <c r="M14" s="3">
        <v>0</v>
      </c>
      <c r="N14" s="4">
        <f>M14*积分规则1</f>
        <v>0</v>
      </c>
      <c r="O14" s="3">
        <v>0</v>
      </c>
      <c r="P14" s="4">
        <f>O14*积分规则1</f>
        <v>0</v>
      </c>
    </row>
    <row r="15" spans="2:20" ht="16.2" thickTop="1">
      <c r="B15" s="69" t="s">
        <v>37</v>
      </c>
      <c r="C15" s="3">
        <f>SUMPRODUCT(D31:D37,抽奖道具礼包道具数)</f>
        <v>0</v>
      </c>
      <c r="D15" s="4">
        <f t="shared" si="0"/>
        <v>0</v>
      </c>
      <c r="E15" s="3">
        <f>SUM(F31*抽奖道具礼包1,F32*抽奖道具礼包2,F33*抽奖道具礼包3,F34*抽奖道具礼包4,F35*抽奖道具礼包5,F36*抽奖道具礼包6,F37*抽奖道具礼包7)</f>
        <v>0</v>
      </c>
      <c r="F15" s="4">
        <f t="shared" si="1"/>
        <v>0</v>
      </c>
      <c r="G15" s="3">
        <f>SUM(H31*抽奖道具礼包1,H32*抽奖道具礼包2,H33*抽奖道具礼包3,H34*抽奖道具礼包4,H35*抽奖道具礼包5,H36*抽奖道具礼包6,H37*抽奖道具礼包7)</f>
        <v>0</v>
      </c>
      <c r="H15" s="4">
        <f t="shared" si="2"/>
        <v>0</v>
      </c>
      <c r="I15" s="3">
        <f>SUM(J31*抽奖道具礼包1,J32*抽奖道具礼包2,J33*抽奖道具礼包3,J34*抽奖道具礼包4,J35*抽奖道具礼包5,J36*抽奖道具礼包6,J37*抽奖道具礼包7)</f>
        <v>0</v>
      </c>
      <c r="J15" s="4">
        <f t="shared" si="3"/>
        <v>0</v>
      </c>
      <c r="K15" s="3">
        <f>SUM(L31*抽奖道具礼包1,L32*抽奖道具礼包2,L33*抽奖道具礼包3,L34*抽奖道具礼包4,L35*抽奖道具礼包5,L36*抽奖道具礼包6,L37*抽奖道具礼包7)</f>
        <v>0</v>
      </c>
      <c r="L15" s="4">
        <f t="shared" si="4"/>
        <v>0</v>
      </c>
      <c r="M15" s="3">
        <f>SUM(N31*抽奖道具礼包1,N32*抽奖道具礼包2,N33*抽奖道具礼包3,N34*抽奖道具礼包4,N35*抽奖道具礼包5,N36*抽奖道具礼包6,N37*抽奖道具礼包7)</f>
        <v>10</v>
      </c>
      <c r="N15" s="4">
        <f t="shared" si="5"/>
        <v>250</v>
      </c>
      <c r="O15" s="3">
        <f>SUM(P31*抽奖道具礼包1,P32*抽奖道具礼包2,P33*抽奖道具礼包3,P34*抽奖道具礼包4,P35*抽奖道具礼包5,P36*抽奖道具礼包6,P37*抽奖道具礼包7)</f>
        <v>10</v>
      </c>
      <c r="P15" s="4">
        <f t="shared" si="6"/>
        <v>250</v>
      </c>
    </row>
    <row r="16" spans="2:20" ht="16.2" thickBot="1">
      <c r="B16" s="50" t="s">
        <v>38</v>
      </c>
      <c r="C16" s="3">
        <f>D44*氪金基金抽奖道具</f>
        <v>0</v>
      </c>
      <c r="D16" s="4">
        <f t="shared" si="0"/>
        <v>0</v>
      </c>
      <c r="E16" s="3">
        <f>F44*氪金基金抽奖道具</f>
        <v>0</v>
      </c>
      <c r="F16" s="4">
        <f t="shared" si="1"/>
        <v>0</v>
      </c>
      <c r="G16" s="3">
        <f>H44*氪金基金抽奖道具</f>
        <v>0</v>
      </c>
      <c r="H16" s="4">
        <f t="shared" si="2"/>
        <v>0</v>
      </c>
      <c r="I16" s="3">
        <f>J44*氪金基金抽奖道具</f>
        <v>0</v>
      </c>
      <c r="J16" s="4">
        <f t="shared" si="3"/>
        <v>0</v>
      </c>
      <c r="K16" s="3">
        <f>L44*氪金基金抽奖道具</f>
        <v>0</v>
      </c>
      <c r="L16" s="4">
        <f t="shared" si="4"/>
        <v>0</v>
      </c>
      <c r="M16" s="3">
        <f>N44*氪金基金抽奖道具</f>
        <v>0</v>
      </c>
      <c r="N16" s="4">
        <f t="shared" si="5"/>
        <v>0</v>
      </c>
      <c r="O16" s="3">
        <f>P44*氪金基金抽奖道具</f>
        <v>0</v>
      </c>
      <c r="P16" s="4">
        <f t="shared" si="6"/>
        <v>0</v>
      </c>
    </row>
    <row r="17" spans="2:19" ht="16.8" thickTop="1" thickBot="1">
      <c r="B17" s="40" t="str">
        <f>"使用"&amp;抽奖道具</f>
        <v>使用糖果币</v>
      </c>
      <c r="C17" s="3">
        <v>0</v>
      </c>
      <c r="D17" s="4">
        <f>C17*积分规则3</f>
        <v>0</v>
      </c>
      <c r="E17" s="3">
        <v>0</v>
      </c>
      <c r="F17" s="4">
        <f>E17*积分规则3</f>
        <v>0</v>
      </c>
      <c r="G17" s="3">
        <v>0</v>
      </c>
      <c r="H17" s="4">
        <f>G17*积分规则3</f>
        <v>0</v>
      </c>
      <c r="I17" s="3">
        <v>0</v>
      </c>
      <c r="J17" s="4">
        <f>I17*积分规则3</f>
        <v>0</v>
      </c>
      <c r="K17" s="3">
        <v>0</v>
      </c>
      <c r="L17" s="4">
        <f>K17*积分规则3</f>
        <v>0</v>
      </c>
      <c r="M17" s="3">
        <v>0</v>
      </c>
      <c r="N17" s="4">
        <f>M17*积分规则3</f>
        <v>0</v>
      </c>
      <c r="O17" s="3">
        <v>725</v>
      </c>
      <c r="P17" s="4">
        <f>O17*积分规则3</f>
        <v>6687.1049783549788</v>
      </c>
      <c r="R17" s="91" t="s">
        <v>106</v>
      </c>
    </row>
    <row r="18" spans="2:19" ht="16.8" thickTop="1" thickBot="1">
      <c r="B18" s="36" t="str">
        <f>"剩余"&amp;抽奖道具</f>
        <v>剩余糖果币</v>
      </c>
      <c r="C18" s="3">
        <f>C26-C17</f>
        <v>104</v>
      </c>
      <c r="D18" s="80">
        <f>C18*积分规则3</f>
        <v>959.25367965367968</v>
      </c>
      <c r="E18" s="3">
        <f>C18+SUM(E8:E16)-E17</f>
        <v>205</v>
      </c>
      <c r="F18" s="80">
        <f>E18*积分规则3</f>
        <v>1890.8365800865802</v>
      </c>
      <c r="G18" s="3">
        <f>E18+SUM(G8:G16)-G17</f>
        <v>306</v>
      </c>
      <c r="H18" s="80">
        <f>G18*积分规则3</f>
        <v>2822.4194805194807</v>
      </c>
      <c r="I18" s="3">
        <f>G18+SUM(I8:I16)-I17</f>
        <v>407</v>
      </c>
      <c r="J18" s="80">
        <f>I18*积分规则3</f>
        <v>3754.0023809523809</v>
      </c>
      <c r="K18" s="3">
        <f>I18+SUM(K8:K16)-K17</f>
        <v>508</v>
      </c>
      <c r="L18" s="80">
        <f>K18*积分规则3</f>
        <v>4685.5852813852816</v>
      </c>
      <c r="M18" s="3">
        <f>K18+SUM(M8:M16)-M17</f>
        <v>619</v>
      </c>
      <c r="N18" s="80">
        <f>M18*积分规则3</f>
        <v>5709.4041125541125</v>
      </c>
      <c r="O18" s="3">
        <f>M18+SUM(O8:O16)-O17</f>
        <v>0</v>
      </c>
      <c r="P18" s="80">
        <f>O18*积分规则3</f>
        <v>0</v>
      </c>
      <c r="R18" s="26"/>
      <c r="S18" s="26"/>
    </row>
    <row r="19" spans="2:19" ht="16.8" thickTop="1" thickBot="1">
      <c r="B19" s="37" t="s">
        <v>32</v>
      </c>
      <c r="C19" s="3">
        <v>0</v>
      </c>
      <c r="D19" s="4">
        <f>C19*随机箱积分</f>
        <v>0</v>
      </c>
      <c r="E19" s="3">
        <v>0</v>
      </c>
      <c r="F19" s="4">
        <f>E19*随机箱积分</f>
        <v>0</v>
      </c>
      <c r="G19" s="3">
        <v>0</v>
      </c>
      <c r="H19" s="4">
        <f>G19*随机箱积分</f>
        <v>0</v>
      </c>
      <c r="I19" s="3">
        <v>0</v>
      </c>
      <c r="J19" s="4">
        <f>I19*随机箱积分</f>
        <v>0</v>
      </c>
      <c r="K19" s="3">
        <v>0</v>
      </c>
      <c r="L19" s="4">
        <f>K19*随机箱积分</f>
        <v>0</v>
      </c>
      <c r="M19" s="3">
        <v>0</v>
      </c>
      <c r="N19" s="4">
        <f>M19*随机箱积分</f>
        <v>0</v>
      </c>
      <c r="O19" s="3">
        <v>90</v>
      </c>
      <c r="P19" s="4">
        <f>O19*随机箱积分</f>
        <v>922.94999999999993</v>
      </c>
      <c r="R19" s="91" t="s">
        <v>108</v>
      </c>
      <c r="S19" s="26"/>
    </row>
    <row r="20" spans="2:19" ht="16.8" thickTop="1" thickBot="1">
      <c r="B20" s="36" t="s">
        <v>33</v>
      </c>
      <c r="C20" s="3">
        <f>C27-SUM(C19)</f>
        <v>0</v>
      </c>
      <c r="D20" s="4">
        <f>C20*随机箱积分</f>
        <v>0</v>
      </c>
      <c r="E20" s="3">
        <f>E27-SUM(C19,E19)</f>
        <v>0</v>
      </c>
      <c r="F20" s="4">
        <f>E20*随机箱积分</f>
        <v>0</v>
      </c>
      <c r="G20" s="3">
        <f>G27-SUM(C19,E19,G19)</f>
        <v>0</v>
      </c>
      <c r="H20" s="4">
        <f>G20*随机箱积分</f>
        <v>0</v>
      </c>
      <c r="I20" s="3">
        <f>I27-SUM(C19,E19,G19,I19)</f>
        <v>0</v>
      </c>
      <c r="J20" s="4">
        <f>I20*随机箱积分</f>
        <v>0</v>
      </c>
      <c r="K20" s="3">
        <f>K27-SUM(C19,E19,G19,I19,K19)</f>
        <v>0</v>
      </c>
      <c r="L20" s="4">
        <f>K20*随机箱积分</f>
        <v>0</v>
      </c>
      <c r="M20" s="3">
        <f>M27-SUM(C19,E19,G19,I19,K19,M19)</f>
        <v>0</v>
      </c>
      <c r="N20" s="4">
        <f>M20*随机箱积分</f>
        <v>0</v>
      </c>
      <c r="O20" s="3">
        <f>O27-SUM(C19,E19,G19,I19,K19,M19,O19)</f>
        <v>0</v>
      </c>
      <c r="P20" s="4">
        <f>O20*随机箱积分</f>
        <v>0</v>
      </c>
      <c r="R20" s="26"/>
      <c r="S20" s="26"/>
    </row>
    <row r="21" spans="2:19" ht="16.8" thickTop="1" thickBot="1">
      <c r="B21" s="38" t="str">
        <f xml:space="preserve"> "兑换"&amp; 高级兑换道具</f>
        <v>兑换蜜橙棒棒糖</v>
      </c>
      <c r="C21" s="3">
        <v>0</v>
      </c>
      <c r="D21" s="4">
        <f>C21*积分规则2</f>
        <v>0</v>
      </c>
      <c r="E21" s="3">
        <v>0</v>
      </c>
      <c r="F21" s="4">
        <f>E21*积分规则2</f>
        <v>0</v>
      </c>
      <c r="G21" s="3">
        <v>0</v>
      </c>
      <c r="H21" s="4">
        <f>G21*积分规则2</f>
        <v>0</v>
      </c>
      <c r="I21" s="3">
        <v>0</v>
      </c>
      <c r="J21" s="4">
        <f>I21*积分规则2</f>
        <v>0</v>
      </c>
      <c r="K21" s="3">
        <v>0</v>
      </c>
      <c r="L21" s="4">
        <f>K21*积分规则2</f>
        <v>0</v>
      </c>
      <c r="M21" s="3">
        <v>0</v>
      </c>
      <c r="N21" s="4">
        <f>M21*积分规则2</f>
        <v>0</v>
      </c>
      <c r="O21" s="3">
        <v>30</v>
      </c>
      <c r="P21" s="4">
        <f>O21*积分规则2</f>
        <v>30</v>
      </c>
      <c r="R21" s="91" t="s">
        <v>109</v>
      </c>
    </row>
    <row r="22" spans="2:19" ht="16.2" thickTop="1">
      <c r="B22" s="70" t="str">
        <f xml:space="preserve"> "氪金"&amp;高级兑换道具</f>
        <v>氪金蜜橙棒棒糖</v>
      </c>
      <c r="C22" s="3">
        <f>SUMPRODUCT(D39:D42,高级兑换道具礼包道具数)</f>
        <v>0</v>
      </c>
      <c r="D22" s="4">
        <f>C22*积分规则2</f>
        <v>0</v>
      </c>
      <c r="E22" s="3">
        <f>SUM(F39*高级兑换道具礼包1,F40*高级兑换道具礼包2,F41*高级兑换道具礼包3,F42*高级兑换道具礼包4)</f>
        <v>0</v>
      </c>
      <c r="F22" s="4">
        <f>E22*积分规则2</f>
        <v>0</v>
      </c>
      <c r="G22" s="3">
        <f>SUM(H39*高级兑换道具礼包1,H40*高级兑换道具礼包2,H41*高级兑换道具礼包3,H42*高级兑换道具礼包4)</f>
        <v>0</v>
      </c>
      <c r="H22" s="4">
        <f>G22*积分规则2</f>
        <v>0</v>
      </c>
      <c r="I22" s="3">
        <f>SUM(J39*高级兑换道具礼包1,J40*高级兑换道具礼包2,J41*高级兑换道具礼包3,J42*高级兑换道具礼包4)</f>
        <v>0</v>
      </c>
      <c r="J22" s="4">
        <f>I22*积分规则2</f>
        <v>0</v>
      </c>
      <c r="K22" s="3">
        <f>SUM(L39*高级兑换道具礼包1,L40*高级兑换道具礼包2,L41*高级兑换道具礼包3,L42*高级兑换道具礼包4)</f>
        <v>0</v>
      </c>
      <c r="L22" s="4">
        <f>K22*积分规则2</f>
        <v>0</v>
      </c>
      <c r="M22" s="3">
        <f>SUM(N39*高级兑换道具礼包1,N40*高级兑换道具礼包2,N41*高级兑换道具礼包3,N42*高级兑换道具礼包4)</f>
        <v>0</v>
      </c>
      <c r="N22" s="4">
        <f>M22*积分规则2</f>
        <v>0</v>
      </c>
      <c r="O22" s="3">
        <f>SUM(P39*高级兑换道具礼包1,P40*高级兑换道具礼包2,P41*高级兑换道具礼包3,P42*高级兑换道具礼包4)</f>
        <v>605</v>
      </c>
      <c r="P22" s="4">
        <f>O22*积分规则2</f>
        <v>605</v>
      </c>
    </row>
    <row r="23" spans="2:19" ht="16.2" thickBot="1">
      <c r="B23" s="13" t="s">
        <v>40</v>
      </c>
      <c r="C23" s="3"/>
      <c r="D23" s="4"/>
      <c r="E23" s="3"/>
      <c r="F23" s="4"/>
      <c r="G23" s="3"/>
      <c r="H23" s="4"/>
      <c r="I23" s="3"/>
      <c r="J23" s="4"/>
      <c r="K23" s="3"/>
      <c r="L23" s="4"/>
      <c r="M23" s="3"/>
      <c r="N23" s="4"/>
      <c r="O23" s="3"/>
      <c r="P23" s="4"/>
    </row>
    <row r="24" spans="2:19" ht="16.8" thickTop="1" thickBot="1">
      <c r="B24" s="65" t="s">
        <v>82</v>
      </c>
      <c r="C24" s="42" t="str">
        <f>IFERROR(LOOKUP(D24,档位积分1:档位积分5,第1档:第5档),"无奖励")</f>
        <v>第1档</v>
      </c>
      <c r="D24" s="43">
        <f>SUM(D8:D17)+D19+SUM(D21:D23)</f>
        <v>2600</v>
      </c>
      <c r="E24" s="44" t="str">
        <f>IFERROR(LOOKUP(F24,档位积分1:档位积分5,第1档:第5档),"无奖励")</f>
        <v>第1档</v>
      </c>
      <c r="F24" s="43">
        <f>SUM(F8:F17)+F19+SUM(F21:F23)</f>
        <v>2525</v>
      </c>
      <c r="G24" s="44" t="str">
        <f>IFERROR(LOOKUP(H24,档位积分1:档位积分5,第1档:第5档),"无奖励")</f>
        <v>第1档</v>
      </c>
      <c r="H24" s="43">
        <f>SUM(H8:H17)+H19+SUM(H21:H23)</f>
        <v>2525</v>
      </c>
      <c r="I24" s="44" t="str">
        <f>IFERROR(LOOKUP(J24,档位积分1:档位积分5,第1档:第5档),"无奖励")</f>
        <v>第1档</v>
      </c>
      <c r="J24" s="43">
        <f>SUM(J8:J17)+J19+SUM(J21:J23)</f>
        <v>2525</v>
      </c>
      <c r="K24" s="44" t="str">
        <f>IFERROR(LOOKUP(L24,档位积分1:档位积分5,第1档:第5档),"无奖励")</f>
        <v>第1档</v>
      </c>
      <c r="L24" s="43">
        <f>SUM(L8:L17)+L19+SUM(L21:L23)</f>
        <v>2525</v>
      </c>
      <c r="M24" s="44" t="str">
        <f>IFERROR(LOOKUP(N24,档位积分1:档位积分5,第1档:第5档),"无奖励")</f>
        <v>第1档</v>
      </c>
      <c r="N24" s="43">
        <f>SUM(N8:N17)+N19+SUM(N21:N23)</f>
        <v>2775</v>
      </c>
      <c r="O24" s="44" t="str">
        <f>IFERROR(LOOKUP(P24,档位积分1:档位积分5,第1档:第5档),"无奖励")</f>
        <v>第5档</v>
      </c>
      <c r="P24" s="43">
        <f>SUM(P8:P17)+P19+SUM(P21:P23)</f>
        <v>10895.05497835498</v>
      </c>
    </row>
    <row r="25" spans="2:19" ht="16.8" thickTop="1" thickBot="1">
      <c r="B25" s="13" t="s">
        <v>83</v>
      </c>
      <c r="C25" s="78">
        <f>D24-IF(C24="无奖励", "",
   INDEX(档位积分1:档位积分5, MATCH(D24, 档位积分1:档位积分5, 1)))</f>
        <v>1800</v>
      </c>
      <c r="D25" s="79">
        <f>IF(D24&gt;=MAX(档位积分1:档位积分5), "",
   IF(D24&lt;MIN(档位积分1:档位积分5), MIN(档位积分1:档位积分5),
      INDEX(档位积分1:档位积分5, MATCH(D24, 档位积分1:档位积分5, 1)+1)))-D24</f>
        <v>400</v>
      </c>
      <c r="E25" s="78">
        <f>F24-IF(E24="无奖励", "",
   INDEX(档位积分1:档位积分5, MATCH(F24, 档位积分1:档位积分5, 1)))</f>
        <v>1725</v>
      </c>
      <c r="F25" s="79">
        <f>IF(F24&gt;=MAX(档位积分1:档位积分5), "",
   IF(F24&lt;MIN(档位积分1:档位积分5), MIN(档位积分1:档位积分5),
      INDEX(档位积分1:档位积分5, MATCH(F24, 档位积分1:档位积分5, 1)+1)))-F24</f>
        <v>475</v>
      </c>
      <c r="G25" s="78">
        <f>H24-IF(G24="无奖励", "",
   INDEX(档位积分1:档位积分5, MATCH(H24, 档位积分1:档位积分5, 1)))</f>
        <v>1725</v>
      </c>
      <c r="H25" s="79">
        <f>IF(H24&gt;=MAX(档位积分1:档位积分5), "",
   IF(H24&lt;MIN(档位积分1:档位积分5), MIN(档位积分1:档位积分5),
      INDEX(档位积分1:档位积分5, MATCH(H24, 档位积分1:档位积分5, 1)+1)))-H24</f>
        <v>475</v>
      </c>
      <c r="I25" s="78">
        <f>J24-IF(I24="无奖励", "",
   INDEX(档位积分1:档位积分5, MATCH(J24, 档位积分1:档位积分5, 1)))</f>
        <v>1725</v>
      </c>
      <c r="J25" s="79">
        <f>IF(J24&gt;=MAX(档位积分1:档位积分5), "",
   IF(J24&lt;MIN(档位积分1:档位积分5), MIN(档位积分1:档位积分5),
      INDEX(档位积分1:档位积分5, MATCH(J24, 档位积分1:档位积分5, 1)+1)))-J24</f>
        <v>475</v>
      </c>
      <c r="K25" s="78">
        <f>L24-IF(K24="无奖励", "",
   INDEX(档位积分1:档位积分5, MATCH(L24, 档位积分1:档位积分5, 1)))</f>
        <v>1725</v>
      </c>
      <c r="L25" s="79">
        <f>IF(L24&gt;=MAX(档位积分1:档位积分5), "",
   IF(L24&lt;MIN(档位积分1:档位积分5), MIN(档位积分1:档位积分5),
      INDEX(档位积分1:档位积分5, MATCH(L24, 档位积分1:档位积分5, 1)+1)))-L24</f>
        <v>475</v>
      </c>
      <c r="M25" s="78">
        <f>N24-IF(M24="无奖励", "",
   INDEX(档位积分1:档位积分5, MATCH(N24, 档位积分1:档位积分5, 1)))</f>
        <v>1975</v>
      </c>
      <c r="N25" s="79">
        <f>IF(N24&gt;=MAX(档位积分1:档位积分5), "",
   IF(N24&lt;MIN(档位积分1:档位积分5), MIN(档位积分1:档位积分5),
      INDEX(档位积分1:档位积分5, MATCH(N24, 档位积分1:档位积分5, 1)+1)))-N24</f>
        <v>225</v>
      </c>
      <c r="O25" s="78">
        <f>P24-IF(O24="无奖励", "",
   INDEX(档位积分1:档位积分5, MATCH(P24, 档位积分1:档位积分5, 1)))</f>
        <v>495.05497835497954</v>
      </c>
      <c r="P25" s="79" t="e">
        <f>IF(P24&gt;=MAX(档位积分1:档位积分5), "",
   IF(P24&lt;MIN(档位积分1:档位积分5), MIN(档位积分1:档位积分5),
      INDEX(档位积分1:档位积分5, MATCH(P24, 档位积分1:档位积分5, 1)+1)))-P24</f>
        <v>#VALUE!</v>
      </c>
    </row>
    <row r="26" spans="2:19" ht="16.2" thickTop="1">
      <c r="B26" s="41" t="str">
        <f>"总"&amp;抽奖道具</f>
        <v>总糖果币</v>
      </c>
      <c r="C26" s="31">
        <f>SUM(C8:C16)</f>
        <v>104</v>
      </c>
      <c r="D26" s="49">
        <f>C26*积分规则3</f>
        <v>959.25367965367968</v>
      </c>
      <c r="E26" s="31">
        <f>C26+SUM(E8:E16)</f>
        <v>205</v>
      </c>
      <c r="F26" s="49">
        <f>E26*积分规则3</f>
        <v>1890.8365800865802</v>
      </c>
      <c r="G26" s="31">
        <f>E26+SUM(G8:G16)</f>
        <v>306</v>
      </c>
      <c r="H26" s="49">
        <f>G26*积分规则3</f>
        <v>2822.4194805194807</v>
      </c>
      <c r="I26" s="31">
        <f>G26+SUM(I8:I16)</f>
        <v>407</v>
      </c>
      <c r="J26" s="49">
        <f>I26*积分规则3</f>
        <v>3754.0023809523809</v>
      </c>
      <c r="K26" s="31">
        <f>I26+SUM(K8:K16)</f>
        <v>508</v>
      </c>
      <c r="L26" s="49">
        <f>K26*积分规则3</f>
        <v>4685.5852813852816</v>
      </c>
      <c r="M26" s="31">
        <f>K26+SUM(M8:M16)</f>
        <v>619</v>
      </c>
      <c r="N26" s="49">
        <f>M26*积分规则3</f>
        <v>5709.4041125541125</v>
      </c>
      <c r="O26" s="31">
        <f>M26+SUM(O8:O16)</f>
        <v>725</v>
      </c>
      <c r="P26" s="49">
        <f>O26*积分规则3</f>
        <v>6687.1049783549788</v>
      </c>
    </row>
    <row r="27" spans="2:19" ht="16.2" thickBot="1">
      <c r="B27" s="30" t="s">
        <v>41</v>
      </c>
      <c r="C27" s="5">
        <f>IFERROR(LOOKUP(D24,档位积分1:档位积分5,档位奖励1:档位奖励5),0)+D44*氪金基金随机箱</f>
        <v>0</v>
      </c>
      <c r="D27" s="12">
        <f>C27*随机箱积分</f>
        <v>0</v>
      </c>
      <c r="E27" s="5">
        <f>IFERROR(LOOKUP(F24,档位积分1:档位积分5,档位奖励1:档位奖励5),0)+C27+F44*氪金基金随机箱</f>
        <v>0</v>
      </c>
      <c r="F27" s="12">
        <f>E27*随机箱积分</f>
        <v>0</v>
      </c>
      <c r="G27" s="5">
        <f>IFERROR(LOOKUP(H24,档位积分1:档位积分5,档位奖励1:档位奖励5),0)+E27+H44*氪金基金随机箱</f>
        <v>0</v>
      </c>
      <c r="H27" s="12">
        <f>G27*随机箱积分</f>
        <v>0</v>
      </c>
      <c r="I27" s="5">
        <f>IFERROR(LOOKUP(J24,档位积分1:档位积分5,档位奖励1:档位奖励5),0)+G27+J44*氪金基金随机箱</f>
        <v>0</v>
      </c>
      <c r="J27" s="12">
        <f>I27*随机箱积分</f>
        <v>0</v>
      </c>
      <c r="K27" s="5">
        <f>IFERROR(LOOKUP(L24,档位积分1:档位积分5,档位奖励1:档位奖励5),0)+I27+L44*氪金基金随机箱</f>
        <v>0</v>
      </c>
      <c r="L27" s="12">
        <f>K27*随机箱积分</f>
        <v>0</v>
      </c>
      <c r="M27" s="5">
        <f>IFERROR(LOOKUP(N24,档位积分1:档位积分5,档位奖励1:档位奖励5),0)+K27+N44*氪金基金随机箱</f>
        <v>0</v>
      </c>
      <c r="N27" s="12">
        <f>M27*随机箱积分</f>
        <v>0</v>
      </c>
      <c r="O27" s="5">
        <f>IFERROR(LOOKUP(P24,档位积分1:档位积分5,档位奖励1:档位奖励5),0)+M27+P44*氪金基金随机箱</f>
        <v>90</v>
      </c>
      <c r="P27" s="12">
        <f>O27*随机箱积分</f>
        <v>922.94999999999993</v>
      </c>
    </row>
    <row r="28" spans="2:19" ht="16.2" thickTop="1">
      <c r="B28" s="33" t="str">
        <f>普通兑换道具</f>
        <v>紫晶棒棒糖</v>
      </c>
      <c r="C28" s="45">
        <f>C17*普通兑换道具抽奖期望</f>
        <v>0</v>
      </c>
      <c r="D28" s="32"/>
      <c r="E28" s="45">
        <f>E17*普通兑换道具抽奖期望+C28</f>
        <v>0</v>
      </c>
      <c r="F28" s="46"/>
      <c r="G28" s="45">
        <f>G17*普通兑换道具抽奖期望+E28</f>
        <v>0</v>
      </c>
      <c r="H28" s="46"/>
      <c r="I28" s="45">
        <f>I17*普通兑换道具抽奖期望+G28</f>
        <v>0</v>
      </c>
      <c r="J28" s="46"/>
      <c r="K28" s="45">
        <f>K17*普通兑换道具抽奖期望+I28</f>
        <v>0</v>
      </c>
      <c r="L28" s="46"/>
      <c r="M28" s="45">
        <f>M17*普通兑换道具抽奖期望+K28</f>
        <v>0</v>
      </c>
      <c r="N28" s="46"/>
      <c r="O28" s="45">
        <f>O17*普通兑换道具抽奖期望+M28-O21*16</f>
        <v>20384.935064935064</v>
      </c>
      <c r="P28" s="32"/>
    </row>
    <row r="29" spans="2:19" ht="16.2" thickBot="1">
      <c r="B29" s="34" t="str">
        <f>高级兑换道具</f>
        <v>蜜橙棒棒糖</v>
      </c>
      <c r="C29" s="47">
        <f>C17*高级兑换道具抽奖期望+C19*随机箱高级道具期望+C21+C22</f>
        <v>0</v>
      </c>
      <c r="D29" s="12"/>
      <c r="E29" s="47">
        <f>E17*高级兑换道具抽奖期望+E19*随机箱高级道具期望+E21+E22+C29</f>
        <v>0</v>
      </c>
      <c r="F29" s="48"/>
      <c r="G29" s="47">
        <f>G17*高级兑换道具抽奖期望+G19*随机箱高级道具期望+G21+G22+E29</f>
        <v>0</v>
      </c>
      <c r="H29" s="48"/>
      <c r="I29" s="47">
        <f>I17*高级兑换道具抽奖期望+I19*随机箱高级道具期望+I21+I22+G29</f>
        <v>0</v>
      </c>
      <c r="J29" s="48"/>
      <c r="K29" s="47">
        <f>K17*高级兑换道具抽奖期望+K19*随机箱高级道具期望+K21+K22+I29</f>
        <v>0</v>
      </c>
      <c r="L29" s="48"/>
      <c r="M29" s="47">
        <f>M17*高级兑换道具抽奖期望+M19*随机箱高级道具期望+M21+M22+K29</f>
        <v>0</v>
      </c>
      <c r="N29" s="48"/>
      <c r="O29" s="52">
        <f>O17*高级兑换道具抽奖期望+O19*随机箱高级道具期望+O21+O22+M29</f>
        <v>2203.3883116883117</v>
      </c>
      <c r="P29" s="12"/>
    </row>
    <row r="30" spans="2:19" ht="16.8" thickTop="1" thickBot="1">
      <c r="B30" s="41" t="s">
        <v>81</v>
      </c>
      <c r="C30" s="55" t="str">
        <f>C7</f>
        <v>糖果币</v>
      </c>
      <c r="D30" s="56" t="s">
        <v>80</v>
      </c>
      <c r="E30" s="55" t="str">
        <f>E7</f>
        <v>糖果币</v>
      </c>
      <c r="F30" s="56" t="s">
        <v>80</v>
      </c>
      <c r="G30" s="55" t="str">
        <f>G7</f>
        <v>糖果币</v>
      </c>
      <c r="H30" s="56" t="s">
        <v>80</v>
      </c>
      <c r="I30" s="55" t="str">
        <f>I7</f>
        <v>糖果币</v>
      </c>
      <c r="J30" s="56" t="s">
        <v>80</v>
      </c>
      <c r="K30" s="55" t="str">
        <f>K7</f>
        <v>糖果币</v>
      </c>
      <c r="L30" s="56" t="s">
        <v>80</v>
      </c>
      <c r="M30" s="55" t="str">
        <f>M7</f>
        <v>糖果币</v>
      </c>
      <c r="N30" s="56" t="s">
        <v>80</v>
      </c>
      <c r="O30" s="55" t="str">
        <f>O7</f>
        <v>糖果币</v>
      </c>
      <c r="P30" s="56" t="s">
        <v>80</v>
      </c>
    </row>
    <row r="31" spans="2:19" ht="16.2" customHeight="1" thickTop="1">
      <c r="B31" s="59" t="str">
        <f>抽奖道具 &amp; "礼包Ⅰ"</f>
        <v>糖果币礼包Ⅰ</v>
      </c>
      <c r="C31" s="39">
        <f>抽奖道具礼包1</f>
        <v>10</v>
      </c>
      <c r="D31" s="24">
        <v>0</v>
      </c>
      <c r="E31" s="39">
        <f>抽奖道具礼包1</f>
        <v>10</v>
      </c>
      <c r="F31" s="24">
        <v>0</v>
      </c>
      <c r="G31" s="39">
        <f>抽奖道具礼包1</f>
        <v>10</v>
      </c>
      <c r="H31" s="24">
        <v>0</v>
      </c>
      <c r="I31" s="39">
        <f>抽奖道具礼包1</f>
        <v>10</v>
      </c>
      <c r="J31" s="24">
        <v>0</v>
      </c>
      <c r="K31" s="39">
        <f>抽奖道具礼包1</f>
        <v>10</v>
      </c>
      <c r="L31" s="24">
        <v>0</v>
      </c>
      <c r="M31" s="39">
        <f>抽奖道具礼包1</f>
        <v>10</v>
      </c>
      <c r="N31" s="24">
        <v>1</v>
      </c>
      <c r="O31" s="39">
        <f>抽奖道具礼包1</f>
        <v>10</v>
      </c>
      <c r="P31" s="24">
        <v>1</v>
      </c>
      <c r="R31" s="161" t="s">
        <v>113</v>
      </c>
    </row>
    <row r="32" spans="2:19">
      <c r="B32" s="92" t="str">
        <f>抽奖道具 &amp; "礼包Ⅱ"</f>
        <v>糖果币礼包Ⅱ</v>
      </c>
      <c r="C32" s="39">
        <f>抽奖道具礼包2</f>
        <v>15</v>
      </c>
      <c r="D32" s="24">
        <v>0</v>
      </c>
      <c r="E32" s="39">
        <f>抽奖道具礼包2</f>
        <v>15</v>
      </c>
      <c r="F32" s="24">
        <v>0</v>
      </c>
      <c r="G32" s="39">
        <f>抽奖道具礼包2</f>
        <v>15</v>
      </c>
      <c r="H32" s="24">
        <v>0</v>
      </c>
      <c r="I32" s="39">
        <f>抽奖道具礼包2</f>
        <v>15</v>
      </c>
      <c r="J32" s="24">
        <v>0</v>
      </c>
      <c r="K32" s="39">
        <f>抽奖道具礼包2</f>
        <v>15</v>
      </c>
      <c r="L32" s="24">
        <v>0</v>
      </c>
      <c r="M32" s="39">
        <f>抽奖道具礼包2</f>
        <v>15</v>
      </c>
      <c r="N32" s="24">
        <v>0</v>
      </c>
      <c r="O32" s="39">
        <f>抽奖道具礼包2</f>
        <v>15</v>
      </c>
      <c r="P32" s="24">
        <v>0</v>
      </c>
      <c r="R32" s="162"/>
    </row>
    <row r="33" spans="2:18">
      <c r="B33" s="92" t="str">
        <f>抽奖道具 &amp; "礼包Ⅲ"</f>
        <v>糖果币礼包Ⅲ</v>
      </c>
      <c r="C33" s="39">
        <f>抽奖道具礼包3</f>
        <v>30</v>
      </c>
      <c r="D33" s="24">
        <v>0</v>
      </c>
      <c r="E33" s="39">
        <f>抽奖道具礼包3</f>
        <v>30</v>
      </c>
      <c r="F33" s="24">
        <v>0</v>
      </c>
      <c r="G33" s="39">
        <f>抽奖道具礼包3</f>
        <v>30</v>
      </c>
      <c r="H33" s="24">
        <v>0</v>
      </c>
      <c r="I33" s="39">
        <f>抽奖道具礼包3</f>
        <v>30</v>
      </c>
      <c r="J33" s="24">
        <v>0</v>
      </c>
      <c r="K33" s="39">
        <f>抽奖道具礼包3</f>
        <v>30</v>
      </c>
      <c r="L33" s="24">
        <v>0</v>
      </c>
      <c r="M33" s="39">
        <f>抽奖道具礼包3</f>
        <v>30</v>
      </c>
      <c r="N33" s="24">
        <v>0</v>
      </c>
      <c r="O33" s="39">
        <f>抽奖道具礼包3</f>
        <v>30</v>
      </c>
      <c r="P33" s="24">
        <v>0</v>
      </c>
      <c r="R33" s="162"/>
    </row>
    <row r="34" spans="2:18">
      <c r="B34" s="92" t="str">
        <f>抽奖道具 &amp; "礼包Ⅳ"</f>
        <v>糖果币礼包Ⅳ</v>
      </c>
      <c r="C34" s="39">
        <f>抽奖道具礼包4</f>
        <v>60</v>
      </c>
      <c r="D34" s="24">
        <v>0</v>
      </c>
      <c r="E34" s="39">
        <f>抽奖道具礼包4</f>
        <v>60</v>
      </c>
      <c r="F34" s="24">
        <v>0</v>
      </c>
      <c r="G34" s="39">
        <f>抽奖道具礼包4</f>
        <v>60</v>
      </c>
      <c r="H34" s="24">
        <v>0</v>
      </c>
      <c r="I34" s="39">
        <f>抽奖道具礼包4</f>
        <v>60</v>
      </c>
      <c r="J34" s="24">
        <v>0</v>
      </c>
      <c r="K34" s="39">
        <f>抽奖道具礼包4</f>
        <v>60</v>
      </c>
      <c r="L34" s="24">
        <v>0</v>
      </c>
      <c r="M34" s="39">
        <f>抽奖道具礼包4</f>
        <v>60</v>
      </c>
      <c r="N34" s="24">
        <v>0</v>
      </c>
      <c r="O34" s="39">
        <f>抽奖道具礼包4</f>
        <v>60</v>
      </c>
      <c r="P34" s="24">
        <v>0</v>
      </c>
      <c r="R34" s="162"/>
    </row>
    <row r="35" spans="2:18">
      <c r="B35" s="92" t="str">
        <f>抽奖道具 &amp; "礼包Ⅴ"</f>
        <v>糖果币礼包Ⅴ</v>
      </c>
      <c r="C35" s="39">
        <f>抽奖道具礼包5</f>
        <v>100</v>
      </c>
      <c r="D35" s="24">
        <v>0</v>
      </c>
      <c r="E35" s="39">
        <f>抽奖道具礼包5</f>
        <v>100</v>
      </c>
      <c r="F35" s="24">
        <v>0</v>
      </c>
      <c r="G35" s="39">
        <f>抽奖道具礼包5</f>
        <v>100</v>
      </c>
      <c r="H35" s="24">
        <v>0</v>
      </c>
      <c r="I35" s="39">
        <f>抽奖道具礼包5</f>
        <v>100</v>
      </c>
      <c r="J35" s="24">
        <v>0</v>
      </c>
      <c r="K35" s="39">
        <f>抽奖道具礼包5</f>
        <v>100</v>
      </c>
      <c r="L35" s="24">
        <v>0</v>
      </c>
      <c r="M35" s="39">
        <f>抽奖道具礼包5</f>
        <v>100</v>
      </c>
      <c r="N35" s="24">
        <v>0</v>
      </c>
      <c r="O35" s="39">
        <f>抽奖道具礼包5</f>
        <v>100</v>
      </c>
      <c r="P35" s="24">
        <v>0</v>
      </c>
      <c r="R35" s="162"/>
    </row>
    <row r="36" spans="2:18">
      <c r="B36" s="92" t="str">
        <f>抽奖道具 &amp; "礼包Ⅵ"</f>
        <v>糖果币礼包Ⅵ</v>
      </c>
      <c r="C36" s="39">
        <f>抽奖道具礼包6</f>
        <v>100</v>
      </c>
      <c r="D36" s="24">
        <v>0</v>
      </c>
      <c r="E36" s="39">
        <f>抽奖道具礼包6</f>
        <v>100</v>
      </c>
      <c r="F36" s="24">
        <v>0</v>
      </c>
      <c r="G36" s="39">
        <f>抽奖道具礼包6</f>
        <v>100</v>
      </c>
      <c r="H36" s="24">
        <v>0</v>
      </c>
      <c r="I36" s="39">
        <f>抽奖道具礼包6</f>
        <v>100</v>
      </c>
      <c r="J36" s="24">
        <v>0</v>
      </c>
      <c r="K36" s="39">
        <f>抽奖道具礼包6</f>
        <v>100</v>
      </c>
      <c r="L36" s="24">
        <v>0</v>
      </c>
      <c r="M36" s="39">
        <f>抽奖道具礼包6</f>
        <v>100</v>
      </c>
      <c r="N36" s="24">
        <v>0</v>
      </c>
      <c r="O36" s="39">
        <f>抽奖道具礼包6</f>
        <v>100</v>
      </c>
      <c r="P36" s="24">
        <v>0</v>
      </c>
      <c r="R36" s="162"/>
    </row>
    <row r="37" spans="2:18" ht="16.2" thickBot="1">
      <c r="B37" s="93" t="str">
        <f>抽奖道具 &amp; "礼包Ⅶ"</f>
        <v>糖果币礼包Ⅶ</v>
      </c>
      <c r="C37" s="57">
        <f>抽奖道具礼包7</f>
        <v>100</v>
      </c>
      <c r="D37" s="12">
        <v>0</v>
      </c>
      <c r="E37" s="57">
        <f>抽奖道具礼包7</f>
        <v>100</v>
      </c>
      <c r="F37" s="12">
        <v>0</v>
      </c>
      <c r="G37" s="57">
        <f>抽奖道具礼包7</f>
        <v>100</v>
      </c>
      <c r="H37" s="12">
        <v>0</v>
      </c>
      <c r="I37" s="57">
        <f>抽奖道具礼包7</f>
        <v>100</v>
      </c>
      <c r="J37" s="12">
        <v>0</v>
      </c>
      <c r="K37" s="57">
        <f>抽奖道具礼包7</f>
        <v>100</v>
      </c>
      <c r="L37" s="12">
        <v>0</v>
      </c>
      <c r="M37" s="57">
        <f>抽奖道具礼包7</f>
        <v>100</v>
      </c>
      <c r="N37" s="12">
        <v>0</v>
      </c>
      <c r="O37" s="57">
        <f>抽奖道具礼包7</f>
        <v>100</v>
      </c>
      <c r="P37" s="12">
        <v>0</v>
      </c>
      <c r="R37" s="162"/>
    </row>
    <row r="38" spans="2:18" ht="32.4" thickTop="1" thickBot="1">
      <c r="B38" s="39" t="s">
        <v>81</v>
      </c>
      <c r="C38" s="55" t="str">
        <f>高级兑换道具</f>
        <v>蜜橙棒棒糖</v>
      </c>
      <c r="D38" s="56" t="s">
        <v>80</v>
      </c>
      <c r="E38" s="55" t="str">
        <f>高级兑换道具</f>
        <v>蜜橙棒棒糖</v>
      </c>
      <c r="F38" s="56" t="s">
        <v>80</v>
      </c>
      <c r="G38" s="55" t="str">
        <f>高级兑换道具</f>
        <v>蜜橙棒棒糖</v>
      </c>
      <c r="H38" s="56" t="s">
        <v>80</v>
      </c>
      <c r="I38" s="55" t="str">
        <f>高级兑换道具</f>
        <v>蜜橙棒棒糖</v>
      </c>
      <c r="J38" s="56" t="s">
        <v>80</v>
      </c>
      <c r="K38" s="55" t="str">
        <f>高级兑换道具</f>
        <v>蜜橙棒棒糖</v>
      </c>
      <c r="L38" s="56" t="s">
        <v>80</v>
      </c>
      <c r="M38" s="55" t="str">
        <f>高级兑换道具</f>
        <v>蜜橙棒棒糖</v>
      </c>
      <c r="N38" s="56" t="s">
        <v>80</v>
      </c>
      <c r="O38" s="55" t="str">
        <f>高级兑换道具</f>
        <v>蜜橙棒棒糖</v>
      </c>
      <c r="P38" s="56" t="s">
        <v>80</v>
      </c>
      <c r="R38" s="162"/>
    </row>
    <row r="39" spans="2:18" ht="16.2" customHeight="1" thickTop="1">
      <c r="B39" s="84" t="str">
        <f>高级兑换道具 &amp; "礼包Ⅰ"</f>
        <v>蜜橙棒棒糖礼包Ⅰ</v>
      </c>
      <c r="C39" s="18">
        <f>高级兑换道具礼包1</f>
        <v>55</v>
      </c>
      <c r="D39" s="32">
        <v>0</v>
      </c>
      <c r="E39" s="18">
        <f>高级兑换道具礼包1</f>
        <v>55</v>
      </c>
      <c r="F39" s="32">
        <v>0</v>
      </c>
      <c r="G39" s="18">
        <f>高级兑换道具礼包1</f>
        <v>55</v>
      </c>
      <c r="H39" s="32">
        <v>0</v>
      </c>
      <c r="I39" s="18">
        <f>高级兑换道具礼包1</f>
        <v>55</v>
      </c>
      <c r="J39" s="32">
        <v>0</v>
      </c>
      <c r="K39" s="18">
        <f>高级兑换道具礼包1</f>
        <v>55</v>
      </c>
      <c r="L39" s="32">
        <v>0</v>
      </c>
      <c r="M39" s="18">
        <f>高级兑换道具礼包1</f>
        <v>55</v>
      </c>
      <c r="N39" s="32">
        <v>0</v>
      </c>
      <c r="O39" s="18">
        <f>高级兑换道具礼包1</f>
        <v>55</v>
      </c>
      <c r="P39" s="32">
        <v>1</v>
      </c>
      <c r="R39" s="162"/>
    </row>
    <row r="40" spans="2:18" ht="31.2">
      <c r="B40" s="85" t="str">
        <f>高级兑换道具 &amp; "礼包Ⅱ"</f>
        <v>蜜橙棒棒糖礼包Ⅱ</v>
      </c>
      <c r="C40" s="39">
        <f>高级兑换道具礼包2</f>
        <v>110</v>
      </c>
      <c r="D40" s="4">
        <v>0</v>
      </c>
      <c r="E40" s="39">
        <f>高级兑换道具礼包2</f>
        <v>110</v>
      </c>
      <c r="F40" s="4">
        <v>0</v>
      </c>
      <c r="G40" s="39">
        <f>高级兑换道具礼包2</f>
        <v>110</v>
      </c>
      <c r="H40" s="4">
        <v>0</v>
      </c>
      <c r="I40" s="39">
        <f>高级兑换道具礼包2</f>
        <v>110</v>
      </c>
      <c r="J40" s="4">
        <v>0</v>
      </c>
      <c r="K40" s="39">
        <f>高级兑换道具礼包2</f>
        <v>110</v>
      </c>
      <c r="L40" s="4">
        <v>0</v>
      </c>
      <c r="M40" s="39">
        <f>高级兑换道具礼包2</f>
        <v>110</v>
      </c>
      <c r="N40" s="4">
        <v>0</v>
      </c>
      <c r="O40" s="39">
        <f>高级兑换道具礼包2</f>
        <v>110</v>
      </c>
      <c r="P40" s="4">
        <v>0</v>
      </c>
      <c r="R40" s="162"/>
    </row>
    <row r="41" spans="2:18" ht="31.2">
      <c r="B41" s="85" t="str">
        <f>高级兑换道具 &amp; "礼包Ⅲ"</f>
        <v>蜜橙棒棒糖礼包Ⅲ</v>
      </c>
      <c r="C41" s="39">
        <f>高级兑换道具礼包3</f>
        <v>275</v>
      </c>
      <c r="D41" s="4">
        <v>0</v>
      </c>
      <c r="E41" s="39">
        <f>高级兑换道具礼包3</f>
        <v>275</v>
      </c>
      <c r="F41" s="4">
        <v>0</v>
      </c>
      <c r="G41" s="39">
        <f>高级兑换道具礼包3</f>
        <v>275</v>
      </c>
      <c r="H41" s="4">
        <v>0</v>
      </c>
      <c r="I41" s="39">
        <f>高级兑换道具礼包3</f>
        <v>275</v>
      </c>
      <c r="J41" s="4">
        <v>0</v>
      </c>
      <c r="K41" s="39">
        <f>高级兑换道具礼包3</f>
        <v>275</v>
      </c>
      <c r="L41" s="4">
        <v>0</v>
      </c>
      <c r="M41" s="39">
        <f>高级兑换道具礼包3</f>
        <v>275</v>
      </c>
      <c r="N41" s="4">
        <v>0</v>
      </c>
      <c r="O41" s="39">
        <f>高级兑换道具礼包3</f>
        <v>275</v>
      </c>
      <c r="P41" s="4">
        <v>0</v>
      </c>
      <c r="R41" s="162"/>
    </row>
    <row r="42" spans="2:18" ht="31.8" thickBot="1">
      <c r="B42" s="86" t="str">
        <f>高级兑换道具 &amp; "礼包Ⅳ"</f>
        <v>蜜橙棒棒糖礼包Ⅳ</v>
      </c>
      <c r="C42" s="57">
        <f>高级兑换道具礼包4</f>
        <v>550</v>
      </c>
      <c r="D42" s="12">
        <v>0</v>
      </c>
      <c r="E42" s="57">
        <f>高级兑换道具礼包4</f>
        <v>550</v>
      </c>
      <c r="F42" s="12">
        <v>0</v>
      </c>
      <c r="G42" s="57">
        <f>高级兑换道具礼包4</f>
        <v>550</v>
      </c>
      <c r="H42" s="12">
        <v>0</v>
      </c>
      <c r="I42" s="57">
        <f>高级兑换道具礼包4</f>
        <v>550</v>
      </c>
      <c r="J42" s="12">
        <v>0</v>
      </c>
      <c r="K42" s="57">
        <f>高级兑换道具礼包4</f>
        <v>550</v>
      </c>
      <c r="L42" s="12">
        <v>0</v>
      </c>
      <c r="M42" s="57">
        <f>高级兑换道具礼包4</f>
        <v>550</v>
      </c>
      <c r="N42" s="12">
        <v>0</v>
      </c>
      <c r="O42" s="57">
        <f>高级兑换道具礼包4</f>
        <v>550</v>
      </c>
      <c r="P42" s="12">
        <v>1</v>
      </c>
      <c r="R42" s="162"/>
    </row>
    <row r="43" spans="2:18" ht="16.8" thickTop="1" thickBot="1">
      <c r="B43" s="175" t="s">
        <v>89</v>
      </c>
      <c r="C43" s="57" t="s">
        <v>92</v>
      </c>
      <c r="D43" s="12">
        <v>0</v>
      </c>
      <c r="E43" s="57" t="s">
        <v>92</v>
      </c>
      <c r="F43" s="12">
        <v>0</v>
      </c>
      <c r="G43" s="57" t="s">
        <v>92</v>
      </c>
      <c r="H43" s="12">
        <v>0</v>
      </c>
      <c r="I43" s="57" t="s">
        <v>92</v>
      </c>
      <c r="J43" s="12">
        <v>0</v>
      </c>
      <c r="K43" s="57" t="s">
        <v>92</v>
      </c>
      <c r="L43" s="12">
        <v>0</v>
      </c>
      <c r="M43" s="57" t="s">
        <v>92</v>
      </c>
      <c r="N43" s="12">
        <v>0</v>
      </c>
      <c r="O43" s="57" t="s">
        <v>92</v>
      </c>
      <c r="P43" s="12">
        <v>0</v>
      </c>
      <c r="R43" s="162"/>
    </row>
    <row r="44" spans="2:18" ht="16.8" thickTop="1" thickBot="1">
      <c r="B44" s="176"/>
      <c r="C44" s="67" t="s">
        <v>91</v>
      </c>
      <c r="D44" s="68">
        <v>0</v>
      </c>
      <c r="E44" s="67" t="s">
        <v>91</v>
      </c>
      <c r="F44" s="68">
        <v>0</v>
      </c>
      <c r="G44" s="67" t="s">
        <v>91</v>
      </c>
      <c r="H44" s="68">
        <v>0</v>
      </c>
      <c r="I44" s="67" t="s">
        <v>91</v>
      </c>
      <c r="J44" s="68">
        <v>0</v>
      </c>
      <c r="K44" s="67" t="s">
        <v>91</v>
      </c>
      <c r="L44" s="68">
        <v>0</v>
      </c>
      <c r="M44" s="67" t="s">
        <v>91</v>
      </c>
      <c r="N44" s="68">
        <v>0</v>
      </c>
      <c r="O44" s="67" t="s">
        <v>91</v>
      </c>
      <c r="P44" s="68">
        <v>0</v>
      </c>
      <c r="R44" s="163"/>
    </row>
    <row r="45" spans="2:18" ht="23.4" customHeight="1" thickTop="1" thickBot="1">
      <c r="B45" s="89" t="s">
        <v>94</v>
      </c>
      <c r="C45" s="177"/>
      <c r="D45" s="165"/>
      <c r="E45" s="164"/>
      <c r="F45" s="165"/>
      <c r="G45" s="164"/>
      <c r="H45" s="165"/>
      <c r="I45" s="164"/>
      <c r="J45" s="165"/>
      <c r="K45" s="164"/>
      <c r="L45" s="165"/>
      <c r="M45" s="164" t="s">
        <v>234</v>
      </c>
      <c r="N45" s="165"/>
      <c r="O45" s="164" t="s">
        <v>100</v>
      </c>
      <c r="P45" s="165"/>
      <c r="R45" s="91" t="s">
        <v>110</v>
      </c>
    </row>
    <row r="46" spans="2:18" ht="30" customHeight="1" thickTop="1">
      <c r="B46" s="87" t="s">
        <v>95</v>
      </c>
      <c r="C46" s="166" t="s">
        <v>194</v>
      </c>
      <c r="D46" s="167"/>
      <c r="E46" s="166" t="s">
        <v>197</v>
      </c>
      <c r="F46" s="167"/>
      <c r="G46" s="166" t="s">
        <v>197</v>
      </c>
      <c r="H46" s="167"/>
      <c r="I46" s="166" t="s">
        <v>197</v>
      </c>
      <c r="J46" s="167"/>
      <c r="K46" s="166" t="s">
        <v>197</v>
      </c>
      <c r="L46" s="167"/>
      <c r="M46" s="166" t="s">
        <v>197</v>
      </c>
      <c r="N46" s="167"/>
      <c r="O46" s="166" t="s">
        <v>225</v>
      </c>
      <c r="P46" s="167"/>
      <c r="R46" s="161" t="s">
        <v>111</v>
      </c>
    </row>
    <row r="47" spans="2:18" ht="30" customHeight="1">
      <c r="B47" s="87" t="s">
        <v>96</v>
      </c>
      <c r="C47" s="166" t="s">
        <v>195</v>
      </c>
      <c r="D47" s="167"/>
      <c r="E47" s="166" t="s">
        <v>195</v>
      </c>
      <c r="F47" s="167"/>
      <c r="G47" s="166" t="s">
        <v>195</v>
      </c>
      <c r="H47" s="167"/>
      <c r="I47" s="166" t="s">
        <v>195</v>
      </c>
      <c r="J47" s="167"/>
      <c r="K47" s="166" t="s">
        <v>195</v>
      </c>
      <c r="L47" s="167"/>
      <c r="M47" s="166" t="s">
        <v>195</v>
      </c>
      <c r="N47" s="167"/>
      <c r="O47" s="166" t="s">
        <v>236</v>
      </c>
      <c r="P47" s="167"/>
      <c r="R47" s="162"/>
    </row>
    <row r="48" spans="2:18" ht="30" customHeight="1">
      <c r="B48" s="87" t="s">
        <v>97</v>
      </c>
      <c r="C48" s="166" t="s">
        <v>196</v>
      </c>
      <c r="D48" s="167"/>
      <c r="E48" s="166" t="s">
        <v>196</v>
      </c>
      <c r="F48" s="167"/>
      <c r="G48" s="166" t="s">
        <v>196</v>
      </c>
      <c r="H48" s="167"/>
      <c r="I48" s="166" t="s">
        <v>196</v>
      </c>
      <c r="J48" s="167"/>
      <c r="K48" s="166" t="s">
        <v>196</v>
      </c>
      <c r="L48" s="167"/>
      <c r="M48" s="166" t="s">
        <v>235</v>
      </c>
      <c r="N48" s="167"/>
      <c r="O48" s="166" t="s">
        <v>226</v>
      </c>
      <c r="P48" s="167"/>
      <c r="R48" s="162"/>
    </row>
    <row r="49" spans="2:19" ht="30" customHeight="1">
      <c r="B49" s="87" t="s">
        <v>98</v>
      </c>
      <c r="C49" s="166"/>
      <c r="D49" s="167"/>
      <c r="E49" s="166"/>
      <c r="F49" s="167"/>
      <c r="G49" s="166"/>
      <c r="H49" s="167"/>
      <c r="I49" s="166"/>
      <c r="J49" s="167"/>
      <c r="K49" s="166"/>
      <c r="L49" s="167"/>
      <c r="M49" s="166" t="s">
        <v>196</v>
      </c>
      <c r="N49" s="167"/>
      <c r="O49" s="166" t="s">
        <v>201</v>
      </c>
      <c r="P49" s="167"/>
      <c r="R49" s="162"/>
    </row>
    <row r="50" spans="2:19" ht="30" customHeight="1" thickBot="1">
      <c r="B50" s="90" t="s">
        <v>99</v>
      </c>
      <c r="C50" s="166"/>
      <c r="D50" s="167"/>
      <c r="E50" s="166"/>
      <c r="F50" s="167"/>
      <c r="G50" s="166"/>
      <c r="H50" s="167"/>
      <c r="I50" s="166"/>
      <c r="J50" s="167"/>
      <c r="K50" s="166"/>
      <c r="L50" s="167"/>
      <c r="M50" s="166"/>
      <c r="N50" s="167"/>
      <c r="O50" s="166" t="s">
        <v>227</v>
      </c>
      <c r="P50" s="167"/>
      <c r="Q50" s="23"/>
      <c r="R50" s="163"/>
      <c r="S50" s="23"/>
    </row>
    <row r="51" spans="2:19" ht="17.399999999999999" thickTop="1" thickBot="1">
      <c r="B51" s="171" t="s">
        <v>34</v>
      </c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3"/>
      <c r="R51" s="6"/>
      <c r="S51" s="6"/>
    </row>
    <row r="52" spans="2:19" ht="19.95" customHeight="1" thickTop="1" thickBot="1">
      <c r="B52" s="158" t="s">
        <v>238</v>
      </c>
      <c r="C52" s="159"/>
      <c r="D52" s="159"/>
      <c r="E52" s="159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60"/>
      <c r="R52" s="161" t="s">
        <v>112</v>
      </c>
      <c r="S52" s="6"/>
    </row>
    <row r="53" spans="2:19" ht="19.95" customHeight="1" thickTop="1" thickBot="1">
      <c r="B53" s="158" t="s">
        <v>237</v>
      </c>
      <c r="C53" s="159"/>
      <c r="D53" s="159"/>
      <c r="E53" s="159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60"/>
      <c r="R53" s="162"/>
      <c r="S53" s="6"/>
    </row>
    <row r="54" spans="2:19" ht="19.95" customHeight="1" thickTop="1" thickBot="1">
      <c r="B54" s="158" t="s">
        <v>221</v>
      </c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60"/>
      <c r="R54" s="162"/>
      <c r="S54" s="6"/>
    </row>
    <row r="55" spans="2:19" ht="19.95" customHeight="1" thickTop="1" thickBot="1">
      <c r="B55" s="158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60"/>
      <c r="R55" s="163"/>
    </row>
    <row r="56" spans="2:19" ht="16.2" thickTop="1">
      <c r="F56" s="6"/>
      <c r="G56" s="6"/>
      <c r="H56" s="6"/>
      <c r="K56" s="6"/>
      <c r="M56" s="6"/>
      <c r="N56" s="6"/>
      <c r="O56" s="6"/>
      <c r="P56" s="6"/>
    </row>
    <row r="57" spans="2:19">
      <c r="B57" s="88"/>
      <c r="C57" s="88"/>
      <c r="D57" s="88"/>
      <c r="K57" s="174"/>
      <c r="L57" s="174"/>
      <c r="M57" s="174"/>
      <c r="N57" s="174"/>
    </row>
    <row r="58" spans="2:19">
      <c r="K58" s="6"/>
      <c r="M58" s="6"/>
      <c r="N58" s="6"/>
      <c r="P58" s="23"/>
    </row>
    <row r="59" spans="2:19">
      <c r="K59" s="6"/>
      <c r="M59" s="6"/>
      <c r="N59" s="6"/>
      <c r="P59" s="23"/>
    </row>
    <row r="60" spans="2:19">
      <c r="K60" s="6"/>
      <c r="M60" s="6"/>
      <c r="N60" s="6"/>
      <c r="P60" s="23"/>
    </row>
    <row r="61" spans="2:19">
      <c r="B61" s="88"/>
      <c r="C61" s="88"/>
      <c r="D61" s="88"/>
      <c r="K61" s="6"/>
      <c r="M61" s="6"/>
      <c r="N61" s="6"/>
      <c r="P61" s="23"/>
    </row>
    <row r="62" spans="2:19">
      <c r="K62" s="6"/>
      <c r="M62" s="6"/>
      <c r="N62" s="6"/>
      <c r="P62" s="23"/>
    </row>
    <row r="63" spans="2:19">
      <c r="K63" s="6"/>
      <c r="M63" s="6"/>
      <c r="N63" s="6"/>
      <c r="P63" s="23"/>
    </row>
    <row r="64" spans="2:19">
      <c r="K64" s="6"/>
      <c r="M64" s="6"/>
      <c r="N64" s="6"/>
      <c r="P64" s="23"/>
    </row>
    <row r="65" spans="11:16">
      <c r="K65" s="6"/>
      <c r="M65" s="6"/>
      <c r="N65" s="6"/>
      <c r="P65" s="23"/>
    </row>
    <row r="66" spans="11:16">
      <c r="P66" s="23"/>
    </row>
    <row r="67" spans="11:16">
      <c r="P67" s="23"/>
    </row>
    <row r="68" spans="11:16">
      <c r="P68" s="23"/>
    </row>
    <row r="69" spans="11:16">
      <c r="P69" s="23"/>
    </row>
    <row r="70" spans="11:16">
      <c r="P70" s="23"/>
    </row>
    <row r="71" spans="11:16">
      <c r="P71" s="23"/>
    </row>
    <row r="72" spans="11:16">
      <c r="P72" s="23"/>
    </row>
    <row r="73" spans="11:16">
      <c r="P73" s="23"/>
    </row>
    <row r="74" spans="11:16">
      <c r="P74" s="23"/>
    </row>
    <row r="75" spans="11:16">
      <c r="P75" s="23"/>
    </row>
    <row r="76" spans="11:16">
      <c r="P76" s="23"/>
    </row>
    <row r="77" spans="11:16">
      <c r="P77" s="23"/>
    </row>
    <row r="78" spans="11:16">
      <c r="P78" s="23"/>
    </row>
    <row r="79" spans="11:16">
      <c r="P79" s="23"/>
    </row>
    <row r="80" spans="11:16">
      <c r="P80" s="23"/>
    </row>
    <row r="81" spans="16:16">
      <c r="P81" s="23"/>
    </row>
  </sheetData>
  <mergeCells count="66">
    <mergeCell ref="K57:N57"/>
    <mergeCell ref="B51:P51"/>
    <mergeCell ref="B52:P52"/>
    <mergeCell ref="R52:R55"/>
    <mergeCell ref="B53:P53"/>
    <mergeCell ref="B54:P54"/>
    <mergeCell ref="B55:P55"/>
    <mergeCell ref="O49:P49"/>
    <mergeCell ref="C50:D50"/>
    <mergeCell ref="E50:F50"/>
    <mergeCell ref="G50:H50"/>
    <mergeCell ref="I50:J50"/>
    <mergeCell ref="K50:L50"/>
    <mergeCell ref="M50:N50"/>
    <mergeCell ref="O50:P50"/>
    <mergeCell ref="C49:D49"/>
    <mergeCell ref="E49:F49"/>
    <mergeCell ref="G49:H49"/>
    <mergeCell ref="I49:J49"/>
    <mergeCell ref="K49:L49"/>
    <mergeCell ref="M49:N49"/>
    <mergeCell ref="E48:F48"/>
    <mergeCell ref="G48:H48"/>
    <mergeCell ref="I48:J48"/>
    <mergeCell ref="K48:L48"/>
    <mergeCell ref="M48:N48"/>
    <mergeCell ref="O48:P48"/>
    <mergeCell ref="O46:P46"/>
    <mergeCell ref="R46:R50"/>
    <mergeCell ref="C47:D47"/>
    <mergeCell ref="E47:F47"/>
    <mergeCell ref="G47:H47"/>
    <mergeCell ref="I47:J47"/>
    <mergeCell ref="K47:L47"/>
    <mergeCell ref="M47:N47"/>
    <mergeCell ref="O47:P47"/>
    <mergeCell ref="C48:D48"/>
    <mergeCell ref="C46:D46"/>
    <mergeCell ref="E46:F46"/>
    <mergeCell ref="G46:H46"/>
    <mergeCell ref="I46:J46"/>
    <mergeCell ref="K46:L46"/>
    <mergeCell ref="M46:N46"/>
    <mergeCell ref="R31:R44"/>
    <mergeCell ref="B43:B44"/>
    <mergeCell ref="C45:D45"/>
    <mergeCell ref="E45:F45"/>
    <mergeCell ref="G45:H45"/>
    <mergeCell ref="I45:J45"/>
    <mergeCell ref="K45:L45"/>
    <mergeCell ref="M45:N45"/>
    <mergeCell ref="O45:P45"/>
    <mergeCell ref="C5:P5"/>
    <mergeCell ref="C6:D6"/>
    <mergeCell ref="E6:F6"/>
    <mergeCell ref="G6:H6"/>
    <mergeCell ref="I6:J6"/>
    <mergeCell ref="K6:L6"/>
    <mergeCell ref="M6:N6"/>
    <mergeCell ref="O6:P6"/>
    <mergeCell ref="B2:P2"/>
    <mergeCell ref="B3:B4"/>
    <mergeCell ref="C3:H3"/>
    <mergeCell ref="I3:L3"/>
    <mergeCell ref="M3:P3"/>
    <mergeCell ref="C4:P4"/>
  </mergeCells>
  <phoneticPr fontId="7" type="noConversion"/>
  <conditionalFormatting sqref="B10:P10">
    <cfRule type="cellIs" dxfId="11" priority="9" operator="greaterThan">
      <formula>0</formula>
    </cfRule>
  </conditionalFormatting>
  <conditionalFormatting sqref="B13:P13">
    <cfRule type="cellIs" dxfId="10" priority="3" operator="greaterThan">
      <formula>0</formula>
    </cfRule>
  </conditionalFormatting>
  <conditionalFormatting sqref="B14:P14">
    <cfRule type="cellIs" dxfId="9" priority="6" operator="greaterThan">
      <formula>0</formula>
    </cfRule>
  </conditionalFormatting>
  <conditionalFormatting sqref="C11:P11">
    <cfRule type="cellIs" dxfId="8" priority="7" operator="greaterThan">
      <formula>0</formula>
    </cfRule>
  </conditionalFormatting>
  <conditionalFormatting sqref="C15:P15 D31:D37 F31:F37 H31:H37 J31:J37 L31:L37 N31:N37 P31:P37">
    <cfRule type="cellIs" dxfId="7" priority="5" operator="greaterThan">
      <formula>0</formula>
    </cfRule>
  </conditionalFormatting>
  <conditionalFormatting sqref="C15:P16">
    <cfRule type="cellIs" dxfId="6" priority="8" operator="greaterThan">
      <formula>0</formula>
    </cfRule>
  </conditionalFormatting>
  <conditionalFormatting sqref="C17:P17">
    <cfRule type="cellIs" dxfId="5" priority="12" operator="greaterThan">
      <formula>0</formula>
    </cfRule>
  </conditionalFormatting>
  <conditionalFormatting sqref="C19:P19">
    <cfRule type="cellIs" dxfId="4" priority="10" operator="greaterThan">
      <formula>0</formula>
    </cfRule>
  </conditionalFormatting>
  <conditionalFormatting sqref="C21:P21">
    <cfRule type="cellIs" dxfId="3" priority="11" operator="greaterThan">
      <formula>0</formula>
    </cfRule>
  </conditionalFormatting>
  <conditionalFormatting sqref="C22:P22 D39:D42 F39:F42 H39:H42 J39:J42 L39:L42 N39:N42 P39:P42">
    <cfRule type="cellIs" dxfId="2" priority="4" operator="greaterThan">
      <formula>0</formula>
    </cfRule>
  </conditionalFormatting>
  <conditionalFormatting sqref="D43 F43 H43 J43 L43 N43 P43">
    <cfRule type="cellIs" dxfId="1" priority="1" operator="greaterThan">
      <formula>0</formula>
    </cfRule>
  </conditionalFormatting>
  <conditionalFormatting sqref="D44 F44 H44 J44 L44 N44 P44"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65</vt:i4>
      </vt:variant>
    </vt:vector>
  </HeadingPairs>
  <TitlesOfParts>
    <vt:vector size="70" baseType="lpstr">
      <vt:lpstr>氪金转盘</vt:lpstr>
      <vt:lpstr>兑换列表</vt:lpstr>
      <vt:lpstr>基础计算设置</vt:lpstr>
      <vt:lpstr>9.8w钻</vt:lpstr>
      <vt:lpstr>12000翡翠</vt:lpstr>
      <vt:lpstr>兑换列表!抽奖道具</vt:lpstr>
      <vt:lpstr>抽奖道具</vt:lpstr>
      <vt:lpstr>抽奖道具礼包1</vt:lpstr>
      <vt:lpstr>抽奖道具礼包2</vt:lpstr>
      <vt:lpstr>抽奖道具礼包3</vt:lpstr>
      <vt:lpstr>抽奖道具礼包4</vt:lpstr>
      <vt:lpstr>抽奖道具礼包5</vt:lpstr>
      <vt:lpstr>抽奖道具礼包6</vt:lpstr>
      <vt:lpstr>抽奖道具礼包7</vt:lpstr>
      <vt:lpstr>抽奖道具礼包道具数</vt:lpstr>
      <vt:lpstr>抽奖道具礼包翡翠</vt:lpstr>
      <vt:lpstr>抽奖道具礼包价格</vt:lpstr>
      <vt:lpstr>档位积分1</vt:lpstr>
      <vt:lpstr>档位积分2</vt:lpstr>
      <vt:lpstr>档位积分3</vt:lpstr>
      <vt:lpstr>档位积分4</vt:lpstr>
      <vt:lpstr>兑换列表!档位积分5</vt:lpstr>
      <vt:lpstr>档位积分5</vt:lpstr>
      <vt:lpstr>兑换列表!档位奖励1</vt:lpstr>
      <vt:lpstr>档位奖励1</vt:lpstr>
      <vt:lpstr>档位奖励2</vt:lpstr>
      <vt:lpstr>档位奖励3</vt:lpstr>
      <vt:lpstr>档位奖励4</vt:lpstr>
      <vt:lpstr>兑换列表!档位奖励5</vt:lpstr>
      <vt:lpstr>档位奖励5</vt:lpstr>
      <vt:lpstr>兑换列表!第1档</vt:lpstr>
      <vt:lpstr>第1档</vt:lpstr>
      <vt:lpstr>兑换列表!第5档</vt:lpstr>
      <vt:lpstr>第5档</vt:lpstr>
      <vt:lpstr>翡翠100</vt:lpstr>
      <vt:lpstr>翡翠10000</vt:lpstr>
      <vt:lpstr>兑换列表!高级兑换道具</vt:lpstr>
      <vt:lpstr>高级兑换道具</vt:lpstr>
      <vt:lpstr>高级兑换道具抽奖期望</vt:lpstr>
      <vt:lpstr>高级兑换道具礼包1</vt:lpstr>
      <vt:lpstr>高级兑换道具礼包2</vt:lpstr>
      <vt:lpstr>高级兑换道具礼包3</vt:lpstr>
      <vt:lpstr>高级兑换道具礼包4</vt:lpstr>
      <vt:lpstr>高级兑换道具礼包道具数</vt:lpstr>
      <vt:lpstr>高级兑换道具礼包翡翠</vt:lpstr>
      <vt:lpstr>高级兑换道具礼包价格</vt:lpstr>
      <vt:lpstr>积分规则1</vt:lpstr>
      <vt:lpstr>积分规则2</vt:lpstr>
      <vt:lpstr>积分规则3</vt:lpstr>
      <vt:lpstr>价格6</vt:lpstr>
      <vt:lpstr>兑换列表!价格648</vt:lpstr>
      <vt:lpstr>价格648</vt:lpstr>
      <vt:lpstr>氪金基金抽奖道具</vt:lpstr>
      <vt:lpstr>氪金基金翡翠</vt:lpstr>
      <vt:lpstr>氪金基金价格</vt:lpstr>
      <vt:lpstr>氪金基金随机箱</vt:lpstr>
      <vt:lpstr>每日广告抽奖道具数量</vt:lpstr>
      <vt:lpstr>每日任务抽奖道具数量</vt:lpstr>
      <vt:lpstr>免费基金抽奖道具</vt:lpstr>
      <vt:lpstr>免费基金随机箱</vt:lpstr>
      <vt:lpstr>兑换列表!普通兑换道具</vt:lpstr>
      <vt:lpstr>普通兑换道具</vt:lpstr>
      <vt:lpstr>普通兑换道具抽奖期望</vt:lpstr>
      <vt:lpstr>首次登录抽奖道具数量</vt:lpstr>
      <vt:lpstr>兑换列表!随机箱高级道具期望</vt:lpstr>
      <vt:lpstr>随机箱高级道具期望</vt:lpstr>
      <vt:lpstr>兑换列表!随机箱积分</vt:lpstr>
      <vt:lpstr>随机箱积分</vt:lpstr>
      <vt:lpstr>钻石购买</vt:lpstr>
      <vt:lpstr>钻石限购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chicken tree</cp:lastModifiedBy>
  <dcterms:modified xsi:type="dcterms:W3CDTF">2026-10-24T14:52:04Z</dcterms:modified>
</cp:coreProperties>
</file>